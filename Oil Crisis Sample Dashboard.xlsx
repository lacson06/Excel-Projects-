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iln\Documents\"/>
    </mc:Choice>
  </mc:AlternateContent>
  <xr:revisionPtr revIDLastSave="0" documentId="13_ncr:1_{1FC38343-7351-466C-919E-2AE108AD0418}" xr6:coauthVersionLast="47" xr6:coauthVersionMax="47" xr10:uidLastSave="{00000000-0000-0000-0000-000000000000}"/>
  <bookViews>
    <workbookView xWindow="-108" yWindow="-108" windowWidth="23256" windowHeight="13896" activeTab="1" xr2:uid="{85E51006-9EA5-4FAD-B48A-9BA220B83D1F}"/>
  </bookViews>
  <sheets>
    <sheet name="Raw_Data" sheetId="1" r:id="rId1"/>
    <sheet name="Dashboard " sheetId="9" r:id="rId2"/>
    <sheet name="Narrative" sheetId="11" r:id="rId3"/>
    <sheet name="Tables" sheetId="7" r:id="rId4"/>
    <sheet name="Sheet11" sheetId="12" r:id="rId5"/>
    <sheet name="Sheet6" sheetId="6" r:id="rId6"/>
  </sheets>
  <definedNames>
    <definedName name="_xlchart.v1.0" hidden="1">Tables!$D$3:$F$202</definedName>
    <definedName name="_xlchart.v1.1" hidden="1">Tables!$G$2</definedName>
    <definedName name="_xlchart.v1.2" hidden="1">Tables!$G$3:$G$202</definedName>
    <definedName name="_xlchart.v1.3" hidden="1">Tables!$D$3:$F$202</definedName>
    <definedName name="_xlchart.v1.4" hidden="1">Tables!$G$2</definedName>
    <definedName name="_xlchart.v1.5" hidden="1">Tables!$G$3:$G$202</definedName>
    <definedName name="_xlchart.v1.6" hidden="1">Tables!$D$3:$F$202</definedName>
    <definedName name="_xlchart.v1.7" hidden="1">Tables!$G$2</definedName>
    <definedName name="_xlchart.v1.8" hidden="1">Tables!$G$3:$G$202</definedName>
  </definedNames>
  <calcPr calcId="191029"/>
  <pivotCaches>
    <pivotCache cacheId="9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8" i="7" l="1"/>
  <c r="B42" i="7"/>
  <c r="B35" i="7"/>
  <c r="B7" i="7"/>
</calcChain>
</file>

<file path=xl/sharedStrings.xml><?xml version="1.0" encoding="utf-8"?>
<sst xmlns="http://schemas.openxmlformats.org/spreadsheetml/2006/main" count="1403" uniqueCount="44">
  <si>
    <t>PUV Drivers &amp; Operators:</t>
  </si>
  <si>
    <t>Subsistence Farmers &amp; Fisherfolk</t>
  </si>
  <si>
    <t>Micro-SMEs (Sari-Sari Stores/Small Eateries)</t>
  </si>
  <si>
    <t xml:space="preserve">Vulnerable Groups </t>
  </si>
  <si>
    <t>Impacted Sectors</t>
  </si>
  <si>
    <t xml:space="preserve">Dominant Transmission Channels </t>
  </si>
  <si>
    <t>Land Transport &amp; Logistics</t>
  </si>
  <si>
    <t>Agriculture &amp; Fisheries</t>
  </si>
  <si>
    <t>Bottom Electricity &amp; Utilities0% Income Households:</t>
  </si>
  <si>
    <t>Electricity &amp; Utilities</t>
  </si>
  <si>
    <t>Food Manufacturing</t>
  </si>
  <si>
    <t>Construction</t>
  </si>
  <si>
    <t>Direct Price Pass-Through</t>
  </si>
  <si>
    <t>The Logistic "Ripple" Effect</t>
  </si>
  <si>
    <t>Second-Round Effects (Monetary &amp; Wage)</t>
  </si>
  <si>
    <t xml:space="preserve">Contribution to Inflation </t>
  </si>
  <si>
    <t>Row Labels</t>
  </si>
  <si>
    <t>Grand Total</t>
  </si>
  <si>
    <t xml:space="preserve">Average of Contribution to Inflation </t>
  </si>
  <si>
    <t xml:space="preserve">Income to Expense Ratio </t>
  </si>
  <si>
    <t xml:space="preserve">Average of Income to Expense Ratio </t>
  </si>
  <si>
    <t>Count of Impacted Sectors</t>
  </si>
  <si>
    <t xml:space="preserve">Count of Dominant Transmission Channels </t>
  </si>
  <si>
    <t>VG</t>
  </si>
  <si>
    <t>IS</t>
  </si>
  <si>
    <t xml:space="preserve">Price Lag in Months </t>
  </si>
  <si>
    <t xml:space="preserve">Impacted Sector </t>
  </si>
  <si>
    <t>Impacted Sector</t>
  </si>
  <si>
    <t>Price Lag (Months)</t>
  </si>
  <si>
    <t xml:space="preserve">Count of Vulnerable Groups </t>
  </si>
  <si>
    <t>Categories</t>
  </si>
  <si>
    <t>Effects of Oil Across Vulnerable Groups and Sectors</t>
  </si>
  <si>
    <t>Hardest hit Sectors</t>
  </si>
  <si>
    <t>Least Hit Sectors</t>
  </si>
  <si>
    <t>Income to Expense Ratio</t>
  </si>
  <si>
    <t>Low Income Household</t>
  </si>
  <si>
    <t>Contribution to Inflation</t>
  </si>
  <si>
    <t>Highest Contribution</t>
  </si>
  <si>
    <t>Dominant Transmision Channel</t>
  </si>
  <si>
    <t>Oil Effect in Lag in Months</t>
  </si>
  <si>
    <t>Impact on Transport vs Utilities vs Food Logistics</t>
  </si>
  <si>
    <t>Sectors got hit the hardest during oil shocks?</t>
  </si>
  <si>
    <t>Most Impacted Sector: Land Transport remains the most vulnerable, operating at a critical 93% income-to-expense ratio. This indicates that nearly all revenue is consumed by rising fuel and operational costs.
Resilient but Strained: Food Manufacturing recorded the lowest relative impact at 32%. While this is the least affected sector in the dataset, a 32% expense-to-income ratio still represents a significant burden on profit margins.
Key Economic Drivers: The combined impact of transport, utilities, and food logistics reached a peak of 4.74%. This is the highest recorded value across all sectors, marking these as the primary channels through which inflation propagates.
Systemic Vulnerability: The data confirms that while manufacturing can partially absorb shocks, the Transport and Logistics backbone is reaching a breaking point, directly driving up the cost of living for the general population.</t>
  </si>
  <si>
    <t>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</si>
</sst>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20"/>
      <color theme="0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0"/>
      <name val="Arial"/>
      <family val="2"/>
    </font>
    <font>
      <sz val="11"/>
      <color theme="8"/>
      <name val="Calibri"/>
      <family val="2"/>
      <scheme val="minor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sz val="14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6161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7">
    <xf numFmtId="0" fontId="0" fillId="0" borderId="0" xfId="0"/>
    <xf numFmtId="0" fontId="0" fillId="2" borderId="0" xfId="0" applyFont="1" applyFill="1"/>
    <xf numFmtId="0" fontId="0" fillId="0" borderId="0" xfId="0" applyFont="1"/>
    <xf numFmtId="0" fontId="2" fillId="0" borderId="1" xfId="0" applyFont="1" applyBorder="1"/>
    <xf numFmtId="0" fontId="0" fillId="0" borderId="2" xfId="0" applyFont="1" applyBorder="1"/>
    <xf numFmtId="2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0" applyNumberFormat="1"/>
    <xf numFmtId="0" fontId="0" fillId="0" borderId="0" xfId="0" applyAlignment="1">
      <alignment horizontal="left" indent="1"/>
    </xf>
    <xf numFmtId="0" fontId="2" fillId="0" borderId="0" xfId="0" applyFont="1"/>
    <xf numFmtId="9" fontId="2" fillId="0" borderId="0" xfId="1" applyFont="1"/>
    <xf numFmtId="9" fontId="0" fillId="2" borderId="0" xfId="1" applyNumberFormat="1" applyFont="1" applyFill="1"/>
    <xf numFmtId="9" fontId="0" fillId="0" borderId="0" xfId="1" applyNumberFormat="1" applyFont="1"/>
    <xf numFmtId="10" fontId="0" fillId="0" borderId="0" xfId="0" applyNumberFormat="1"/>
    <xf numFmtId="0" fontId="3" fillId="0" borderId="0" xfId="0" applyFont="1"/>
    <xf numFmtId="0" fontId="4" fillId="0" borderId="0" xfId="0" applyFont="1"/>
    <xf numFmtId="9" fontId="4" fillId="0" borderId="0" xfId="0" applyNumberFormat="1" applyFont="1"/>
    <xf numFmtId="0" fontId="3" fillId="3" borderId="0" xfId="0" applyFont="1" applyFill="1"/>
    <xf numFmtId="0" fontId="3" fillId="4" borderId="0" xfId="0" applyFont="1" applyFill="1"/>
    <xf numFmtId="10" fontId="3" fillId="4" borderId="0" xfId="0" applyNumberFormat="1" applyFont="1" applyFill="1"/>
    <xf numFmtId="9" fontId="4" fillId="0" borderId="0" xfId="1" applyFont="1"/>
    <xf numFmtId="10" fontId="4" fillId="0" borderId="0" xfId="1" applyNumberFormat="1" applyFont="1"/>
    <xf numFmtId="2" fontId="4" fillId="0" borderId="0" xfId="0" applyNumberFormat="1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 indent="2"/>
    </xf>
    <xf numFmtId="9" fontId="0" fillId="0" borderId="2" xfId="1" applyNumberFormat="1" applyFont="1" applyBorder="1"/>
    <xf numFmtId="0" fontId="9" fillId="0" borderId="3" xfId="0" applyFont="1" applyBorder="1" applyAlignment="1">
      <alignment horizontal="left" vertical="center" wrapText="1" indent="1" readingOrder="1"/>
    </xf>
    <xf numFmtId="0" fontId="9" fillId="0" borderId="3" xfId="0" applyFont="1" applyBorder="1" applyAlignment="1">
      <alignment vertical="center" wrapText="1" readingOrder="1"/>
    </xf>
    <xf numFmtId="0" fontId="8" fillId="0" borderId="3" xfId="0" applyFont="1" applyBorder="1" applyAlignment="1">
      <alignment horizontal="left" vertical="center" wrapText="1" indent="1" readingOrder="1"/>
    </xf>
    <xf numFmtId="0" fontId="8" fillId="0" borderId="3" xfId="0" applyFont="1" applyBorder="1" applyAlignment="1">
      <alignment vertical="center" wrapText="1" readingOrder="1"/>
    </xf>
    <xf numFmtId="0" fontId="0" fillId="0" borderId="0" xfId="0" applyFont="1" applyBorder="1"/>
    <xf numFmtId="9" fontId="0" fillId="0" borderId="0" xfId="1" applyNumberFormat="1" applyFont="1" applyBorder="1"/>
    <xf numFmtId="0" fontId="0" fillId="0" borderId="0" xfId="0" applyAlignmen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4" borderId="0" xfId="0" applyFont="1" applyFill="1" applyAlignment="1">
      <alignment vertical="center"/>
    </xf>
    <xf numFmtId="0" fontId="4" fillId="0" borderId="0" xfId="0" applyFont="1" applyAlignment="1">
      <alignment horizontal="left"/>
    </xf>
    <xf numFmtId="0" fontId="11" fillId="7" borderId="0" xfId="0" applyFont="1" applyFill="1"/>
    <xf numFmtId="0" fontId="4" fillId="9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10" fontId="4" fillId="6" borderId="0" xfId="0" applyNumberFormat="1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9" fontId="4" fillId="6" borderId="7" xfId="0" applyNumberFormat="1" applyFont="1" applyFill="1" applyBorder="1" applyAlignment="1">
      <alignment horizontal="center" vertical="center" wrapText="1"/>
    </xf>
    <xf numFmtId="9" fontId="4" fillId="6" borderId="0" xfId="0" applyNumberFormat="1" applyFont="1" applyFill="1" applyBorder="1" applyAlignment="1">
      <alignment horizontal="center" vertical="center" wrapText="1"/>
    </xf>
    <xf numFmtId="9" fontId="4" fillId="6" borderId="8" xfId="0" applyNumberFormat="1" applyFont="1" applyFill="1" applyBorder="1" applyAlignment="1">
      <alignment horizontal="center" vertical="center" wrapText="1"/>
    </xf>
    <xf numFmtId="9" fontId="4" fillId="6" borderId="9" xfId="0" applyNumberFormat="1" applyFont="1" applyFill="1" applyBorder="1" applyAlignment="1">
      <alignment horizontal="center" vertical="center" wrapText="1"/>
    </xf>
    <xf numFmtId="9" fontId="4" fillId="6" borderId="10" xfId="0" applyNumberFormat="1" applyFont="1" applyFill="1" applyBorder="1" applyAlignment="1">
      <alignment horizontal="center" vertical="center" wrapText="1"/>
    </xf>
    <xf numFmtId="9" fontId="4" fillId="6" borderId="11" xfId="0" applyNumberFormat="1" applyFont="1" applyFill="1" applyBorder="1" applyAlignment="1">
      <alignment horizontal="center" vertical="center" wrapText="1"/>
    </xf>
    <xf numFmtId="0" fontId="4" fillId="8" borderId="0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4" fillId="0" borderId="0" xfId="0" applyFont="1" applyAlignment="1"/>
    <xf numFmtId="0" fontId="10" fillId="5" borderId="0" xfId="0" applyFont="1" applyFill="1" applyAlignment="1">
      <alignment horizontal="center" vertical="center"/>
    </xf>
    <xf numFmtId="9" fontId="4" fillId="10" borderId="7" xfId="0" applyNumberFormat="1" applyFont="1" applyFill="1" applyBorder="1" applyAlignment="1">
      <alignment horizontal="center" vertical="center" wrapText="1"/>
    </xf>
    <xf numFmtId="9" fontId="4" fillId="10" borderId="0" xfId="0" applyNumberFormat="1" applyFont="1" applyFill="1" applyBorder="1" applyAlignment="1">
      <alignment horizontal="center" vertical="center" wrapText="1"/>
    </xf>
    <xf numFmtId="9" fontId="4" fillId="10" borderId="8" xfId="0" applyNumberFormat="1" applyFont="1" applyFill="1" applyBorder="1" applyAlignment="1">
      <alignment horizontal="center" vertical="center" wrapText="1"/>
    </xf>
    <xf numFmtId="9" fontId="4" fillId="10" borderId="9" xfId="0" applyNumberFormat="1" applyFont="1" applyFill="1" applyBorder="1" applyAlignment="1">
      <alignment horizontal="center" vertical="center" wrapText="1"/>
    </xf>
    <xf numFmtId="9" fontId="4" fillId="10" borderId="10" xfId="0" applyNumberFormat="1" applyFont="1" applyFill="1" applyBorder="1" applyAlignment="1">
      <alignment horizontal="center" vertical="center" wrapText="1"/>
    </xf>
    <xf numFmtId="9" fontId="4" fillId="10" borderId="11" xfId="0" applyNumberFormat="1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4" fillId="11" borderId="0" xfId="0" applyFont="1" applyFill="1" applyBorder="1" applyAlignment="1">
      <alignment horizontal="center" vertical="center" wrapText="1"/>
    </xf>
    <xf numFmtId="0" fontId="4" fillId="11" borderId="8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4" fillId="9" borderId="0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4" fillId="12" borderId="0" xfId="0" applyFont="1" applyFill="1" applyBorder="1" applyAlignment="1">
      <alignment horizontal="center" vertical="center" wrapText="1"/>
    </xf>
    <xf numFmtId="0" fontId="4" fillId="12" borderId="8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top" wrapText="1"/>
    </xf>
  </cellXfs>
  <cellStyles count="2">
    <cellStyle name="Normal" xfId="0" builtinId="0"/>
    <cellStyle name="Percent" xfId="1" builtinId="5"/>
  </cellStyles>
  <dxfs count="7">
    <dxf>
      <numFmt numFmtId="13" formatCode="0%"/>
    </dxf>
    <dxf>
      <numFmt numFmtId="13" formatCode="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colors>
    <mruColors>
      <color rgb="FFFFB3B3"/>
      <color rgb="FFFF6161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Tables!$B$9</c:f>
              <c:strCache>
                <c:ptCount val="1"/>
                <c:pt idx="0">
                  <c:v>Average of Income to Expense Ratio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Tables!$A$10:$A$14</c:f>
              <c:strCache>
                <c:ptCount val="5"/>
                <c:pt idx="0">
                  <c:v>Food Manufacturing</c:v>
                </c:pt>
                <c:pt idx="1">
                  <c:v>Agriculture &amp; Fisheries</c:v>
                </c:pt>
                <c:pt idx="2">
                  <c:v>Construction</c:v>
                </c:pt>
                <c:pt idx="3">
                  <c:v>Electricity &amp; Utilities</c:v>
                </c:pt>
                <c:pt idx="4">
                  <c:v>Land Transport &amp; Logistics</c:v>
                </c:pt>
              </c:strCache>
            </c:strRef>
          </c:cat>
          <c:val>
            <c:numRef>
              <c:f>Tables!$B$10:$B$14</c:f>
              <c:numCache>
                <c:formatCode>0%</c:formatCode>
                <c:ptCount val="5"/>
                <c:pt idx="0">
                  <c:v>0.32</c:v>
                </c:pt>
                <c:pt idx="1">
                  <c:v>0.35</c:v>
                </c:pt>
                <c:pt idx="2">
                  <c:v>0.67</c:v>
                </c:pt>
                <c:pt idx="3">
                  <c:v>0.84</c:v>
                </c:pt>
                <c:pt idx="4">
                  <c:v>0.93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2-4192-9573-92F75D2EE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2981472"/>
        <c:axId val="1232979552"/>
      </c:barChart>
      <c:catAx>
        <c:axId val="1232981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979552"/>
        <c:crosses val="autoZero"/>
        <c:auto val="1"/>
        <c:lblAlgn val="ctr"/>
        <c:lblOffset val="100"/>
        <c:noMultiLvlLbl val="0"/>
      </c:catAx>
      <c:valAx>
        <c:axId val="1232979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Income to Expense Ratio</a:t>
                </a:r>
              </a:p>
            </c:rich>
          </c:tx>
          <c:layout>
            <c:manualLayout>
              <c:xMode val="edge"/>
              <c:yMode val="edge"/>
              <c:x val="0.48054640676815663"/>
              <c:y val="0.939045734375333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981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400" b="0" i="0" u="none" strike="noStrike" baseline="0">
                <a:effectLst/>
              </a:rPr>
              <a:t>Impact on Transport vs Utilities vs Food Logistics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Tables!$B$16</c:f>
              <c:strCache>
                <c:ptCount val="1"/>
                <c:pt idx="0">
                  <c:v>Average of Contribution to Inflation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Tables!$A$17:$A$21</c:f>
              <c:strCache>
                <c:ptCount val="5"/>
                <c:pt idx="0">
                  <c:v>Agriculture &amp; Fisheries</c:v>
                </c:pt>
                <c:pt idx="1">
                  <c:v>Food Manufacturing</c:v>
                </c:pt>
                <c:pt idx="2">
                  <c:v>Construction</c:v>
                </c:pt>
                <c:pt idx="3">
                  <c:v>Electricity &amp; Utilities</c:v>
                </c:pt>
                <c:pt idx="4">
                  <c:v>Land Transport &amp; Logistics</c:v>
                </c:pt>
              </c:strCache>
            </c:strRef>
          </c:cat>
          <c:val>
            <c:numRef>
              <c:f>Tables!$B$17:$B$21</c:f>
              <c:numCache>
                <c:formatCode>0.00%</c:formatCode>
                <c:ptCount val="5"/>
                <c:pt idx="0">
                  <c:v>1.14E-2</c:v>
                </c:pt>
                <c:pt idx="1">
                  <c:v>1.38E-2</c:v>
                </c:pt>
                <c:pt idx="2">
                  <c:v>2.1899999999999999E-2</c:v>
                </c:pt>
                <c:pt idx="3">
                  <c:v>2.7400000000000001E-2</c:v>
                </c:pt>
                <c:pt idx="4">
                  <c:v>4.7399999999999998E-2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8-4882-A28C-151DF4F40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5266832"/>
        <c:axId val="1475267792"/>
      </c:barChart>
      <c:catAx>
        <c:axId val="147526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267792"/>
        <c:crosses val="autoZero"/>
        <c:auto val="1"/>
        <c:lblAlgn val="ctr"/>
        <c:lblOffset val="100"/>
        <c:noMultiLvlLbl val="0"/>
      </c:catAx>
      <c:valAx>
        <c:axId val="147526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Contribution</a:t>
                </a:r>
                <a:r>
                  <a:rPr lang="en-PH" baseline="0"/>
                  <a:t> to Inflation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26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DF0F-4120-945C-B9F0C320CE11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DF0F-4120-945C-B9F0C320CE11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DF0F-4120-945C-B9F0C320CE11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DF0F-4120-945C-B9F0C320CE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6350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Tables!$A$31:$A$34</c:f>
              <c:strCache>
                <c:ptCount val="4"/>
                <c:pt idx="0">
                  <c:v>Low Income Household</c:v>
                </c:pt>
                <c:pt idx="1">
                  <c:v>Micro-SMEs (Sari-Sari Stores/Small Eateries)</c:v>
                </c:pt>
                <c:pt idx="2">
                  <c:v>PUV Drivers &amp; Operators:</c:v>
                </c:pt>
                <c:pt idx="3">
                  <c:v>Subsistence Farmers &amp; Fisherfolk</c:v>
                </c:pt>
              </c:strCache>
            </c:strRef>
          </c:cat>
          <c:val>
            <c:numRef>
              <c:f>Tables!$B$31:$B$34</c:f>
              <c:numCache>
                <c:formatCode>0%</c:formatCode>
                <c:ptCount val="4"/>
                <c:pt idx="0">
                  <c:v>0.17</c:v>
                </c:pt>
                <c:pt idx="1">
                  <c:v>0.11</c:v>
                </c:pt>
                <c:pt idx="2">
                  <c:v>0.47</c:v>
                </c:pt>
                <c:pt idx="3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F0F-4120-945C-B9F0C320CE11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F0F-4120-945C-B9F0C320CE11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F0F-4120-945C-B9F0C320CE11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F0F-4120-945C-B9F0C320CE11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F0F-4120-945C-B9F0C320CE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Tables!$A$31:$A$34</c:f>
              <c:strCache>
                <c:ptCount val="4"/>
                <c:pt idx="0">
                  <c:v>Low Income Household</c:v>
                </c:pt>
                <c:pt idx="1">
                  <c:v>Micro-SMEs (Sari-Sari Stores/Small Eateries)</c:v>
                </c:pt>
                <c:pt idx="2">
                  <c:v>PUV Drivers &amp; Operators:</c:v>
                </c:pt>
                <c:pt idx="3">
                  <c:v>Subsistence Farmers &amp; Fisherfolk</c:v>
                </c:pt>
              </c:strCache>
            </c:strRef>
          </c:cat>
          <c:val>
            <c:numRef>
              <c:f>Tables!$B$31:$B$34</c:f>
              <c:numCache>
                <c:formatCode>0%</c:formatCode>
                <c:ptCount val="4"/>
                <c:pt idx="0">
                  <c:v>0.17</c:v>
                </c:pt>
                <c:pt idx="1">
                  <c:v>0.11</c:v>
                </c:pt>
                <c:pt idx="2">
                  <c:v>0.47</c:v>
                </c:pt>
                <c:pt idx="3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F0F-4120-945C-B9F0C320CE1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59-49D0-AB53-076F383E7EE9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59-49D0-AB53-076F383E7EE9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759-49D0-AB53-076F383E7EE9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759-49D0-AB53-076F383E7EE9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759-49D0-AB53-076F383E7E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Tables!$A$37:$A$41</c:f>
              <c:strCache>
                <c:ptCount val="5"/>
                <c:pt idx="0">
                  <c:v>Agriculture &amp; Fisheries</c:v>
                </c:pt>
                <c:pt idx="1">
                  <c:v>Construction</c:v>
                </c:pt>
                <c:pt idx="2">
                  <c:v>Electricity &amp; Utilities</c:v>
                </c:pt>
                <c:pt idx="3">
                  <c:v>Food Manufacturing</c:v>
                </c:pt>
                <c:pt idx="4">
                  <c:v>Land Transport &amp; Logistics</c:v>
                </c:pt>
              </c:strCache>
            </c:strRef>
          </c:cat>
          <c:val>
            <c:numRef>
              <c:f>Tables!$B$37:$B$41</c:f>
              <c:numCache>
                <c:formatCode>0%</c:formatCode>
                <c:ptCount val="5"/>
                <c:pt idx="0">
                  <c:v>0.22</c:v>
                </c:pt>
                <c:pt idx="1">
                  <c:v>0.08</c:v>
                </c:pt>
                <c:pt idx="2">
                  <c:v>0.16500000000000001</c:v>
                </c:pt>
                <c:pt idx="3">
                  <c:v>0.11</c:v>
                </c:pt>
                <c:pt idx="4">
                  <c:v>0.42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759-49D0-AB53-076F383E7EE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978474958905374E-2"/>
          <c:y val="0.11991469816272966"/>
          <c:w val="0.55537296594441765"/>
          <c:h val="0.6919887854927224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EC-420E-89ED-E8FC01E252D7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EC-420E-89ED-E8FC01E252D7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EC-420E-89ED-E8FC01E252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Tables!$A$45:$A$47</c:f>
              <c:strCache>
                <c:ptCount val="3"/>
                <c:pt idx="0">
                  <c:v>Direct Price Pass-Through</c:v>
                </c:pt>
                <c:pt idx="1">
                  <c:v>Second-Round Effects (Monetary &amp; Wage)</c:v>
                </c:pt>
                <c:pt idx="2">
                  <c:v>The Logistic "Ripple" Effect</c:v>
                </c:pt>
              </c:strCache>
            </c:strRef>
          </c:cat>
          <c:val>
            <c:numRef>
              <c:f>Tables!$B$45:$B$47</c:f>
              <c:numCache>
                <c:formatCode>0.00%</c:formatCode>
                <c:ptCount val="3"/>
                <c:pt idx="0">
                  <c:v>0.28999999999999998</c:v>
                </c:pt>
                <c:pt idx="1">
                  <c:v>0.16</c:v>
                </c:pt>
                <c:pt idx="2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EC-420E-89ED-E8FC01E252D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Tables!$A$24:$A$28</c:f>
              <c:strCache>
                <c:ptCount val="5"/>
                <c:pt idx="0">
                  <c:v>Food Manufacturing</c:v>
                </c:pt>
                <c:pt idx="1">
                  <c:v>Agriculture &amp; Fisheries</c:v>
                </c:pt>
                <c:pt idx="2">
                  <c:v>Electricity &amp; Utilities</c:v>
                </c:pt>
                <c:pt idx="3">
                  <c:v>Construction</c:v>
                </c:pt>
                <c:pt idx="4">
                  <c:v>Land Transport &amp; Logistics</c:v>
                </c:pt>
              </c:strCache>
            </c:strRef>
          </c:cat>
          <c:val>
            <c:numRef>
              <c:f>Tables!$B$24:$B$28</c:f>
              <c:numCache>
                <c:formatCode>0.00</c:formatCode>
                <c:ptCount val="5"/>
                <c:pt idx="0">
                  <c:v>2.6</c:v>
                </c:pt>
                <c:pt idx="1">
                  <c:v>2.4900000000000002</c:v>
                </c:pt>
                <c:pt idx="2">
                  <c:v>1.97</c:v>
                </c:pt>
                <c:pt idx="3">
                  <c:v>1.35</c:v>
                </c:pt>
                <c:pt idx="4">
                  <c:v>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71-4C21-9599-977753125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9824000"/>
        <c:axId val="1399824960"/>
      </c:barChart>
      <c:catAx>
        <c:axId val="139982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824960"/>
        <c:crosses val="autoZero"/>
        <c:auto val="1"/>
        <c:lblAlgn val="ctr"/>
        <c:lblOffset val="100"/>
        <c:noMultiLvlLbl val="0"/>
      </c:catAx>
      <c:valAx>
        <c:axId val="139982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Price</a:t>
                </a:r>
                <a:r>
                  <a:rPr lang="en-PH" baseline="0"/>
                  <a:t> Lag in Months</a:t>
                </a: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8240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Tables!$A$45:$A$47</c:f>
              <c:strCache>
                <c:ptCount val="3"/>
                <c:pt idx="0">
                  <c:v>Direct Price Pass-Through</c:v>
                </c:pt>
                <c:pt idx="1">
                  <c:v>Second-Round Effects (Monetary &amp; Wage)</c:v>
                </c:pt>
                <c:pt idx="2">
                  <c:v>The Logistic "Ripple" Effect</c:v>
                </c:pt>
              </c:strCache>
            </c:strRef>
          </c:cat>
          <c:val>
            <c:numRef>
              <c:f>Tables!$B$45:$B$47</c:f>
              <c:numCache>
                <c:formatCode>0.00%</c:formatCode>
                <c:ptCount val="3"/>
                <c:pt idx="0">
                  <c:v>0.28999999999999998</c:v>
                </c:pt>
                <c:pt idx="1">
                  <c:v>0.16</c:v>
                </c:pt>
                <c:pt idx="2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C-4333-A981-C67BFA363656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Tables!$A$24:$A$28</c:f>
              <c:strCache>
                <c:ptCount val="5"/>
                <c:pt idx="0">
                  <c:v>Food Manufacturing</c:v>
                </c:pt>
                <c:pt idx="1">
                  <c:v>Agriculture &amp; Fisheries</c:v>
                </c:pt>
                <c:pt idx="2">
                  <c:v>Electricity &amp; Utilities</c:v>
                </c:pt>
                <c:pt idx="3">
                  <c:v>Construction</c:v>
                </c:pt>
                <c:pt idx="4">
                  <c:v>Land Transport &amp; Logistics</c:v>
                </c:pt>
              </c:strCache>
            </c:strRef>
          </c:cat>
          <c:val>
            <c:numRef>
              <c:f>Tables!$B$24:$B$28</c:f>
              <c:numCache>
                <c:formatCode>0.00</c:formatCode>
                <c:ptCount val="5"/>
                <c:pt idx="0">
                  <c:v>2.6</c:v>
                </c:pt>
                <c:pt idx="1">
                  <c:v>2.4900000000000002</c:v>
                </c:pt>
                <c:pt idx="2">
                  <c:v>1.97</c:v>
                </c:pt>
                <c:pt idx="3">
                  <c:v>1.35</c:v>
                </c:pt>
                <c:pt idx="4">
                  <c:v>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59-46F5-ACED-DDCEF5871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9824000"/>
        <c:axId val="1399824960"/>
      </c:barChart>
      <c:catAx>
        <c:axId val="139982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824960"/>
        <c:crosses val="autoZero"/>
        <c:auto val="1"/>
        <c:lblAlgn val="ctr"/>
        <c:lblOffset val="100"/>
        <c:noMultiLvlLbl val="0"/>
      </c:catAx>
      <c:valAx>
        <c:axId val="139982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82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plotArea>
      <cx:plotAreaRegion>
        <cx:series layoutId="sunburst" uniqueId="{15A2DC18-0D19-4D6F-AC6C-5F0DA156D9E5}">
          <cx:tx>
            <cx:txData>
              <cx:f>_xlchart.v1.4</cx:f>
              <cx:v>Contribution to Inflation </cx:v>
            </cx:txData>
          </cx:tx>
          <cx:dataLabels>
            <cx:visibility seriesName="0" categoryName="1" value="1"/>
            <cx:separator>, </cx:separator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microsoft.com/office/2014/relationships/chartEx" Target="../charts/chartEx1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17929</xdr:rowOff>
    </xdr:from>
    <xdr:to>
      <xdr:col>7</xdr:col>
      <xdr:colOff>591671</xdr:colOff>
      <xdr:row>23</xdr:row>
      <xdr:rowOff>17929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512F4A-C311-4EB5-AC1E-ADDE356B34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8965</xdr:colOff>
      <xdr:row>5</xdr:row>
      <xdr:rowOff>26893</xdr:rowOff>
    </xdr:from>
    <xdr:to>
      <xdr:col>18</xdr:col>
      <xdr:colOff>600635</xdr:colOff>
      <xdr:row>22</xdr:row>
      <xdr:rowOff>161364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085061-649C-4133-ACC7-7D7F98D533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35858</xdr:colOff>
      <xdr:row>5</xdr:row>
      <xdr:rowOff>17930</xdr:rowOff>
    </xdr:from>
    <xdr:to>
      <xdr:col>27</xdr:col>
      <xdr:colOff>53787</xdr:colOff>
      <xdr:row>22</xdr:row>
      <xdr:rowOff>161363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D8A8C5A-DD95-4677-840F-FDA2B16FC7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8963</xdr:colOff>
      <xdr:row>25</xdr:row>
      <xdr:rowOff>26894</xdr:rowOff>
    </xdr:from>
    <xdr:to>
      <xdr:col>27</xdr:col>
      <xdr:colOff>62752</xdr:colOff>
      <xdr:row>34</xdr:row>
      <xdr:rowOff>331694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E66DC8C-12F2-4A8A-85AE-3B8EE9C87B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17929</xdr:colOff>
      <xdr:row>25</xdr:row>
      <xdr:rowOff>8966</xdr:rowOff>
    </xdr:from>
    <xdr:to>
      <xdr:col>21</xdr:col>
      <xdr:colOff>0</xdr:colOff>
      <xdr:row>34</xdr:row>
      <xdr:rowOff>349624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C1F0441-D3FA-4308-BC54-4E168C4F8C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609599</xdr:colOff>
      <xdr:row>25</xdr:row>
      <xdr:rowOff>8965</xdr:rowOff>
    </xdr:from>
    <xdr:to>
      <xdr:col>12</xdr:col>
      <xdr:colOff>591670</xdr:colOff>
      <xdr:row>34</xdr:row>
      <xdr:rowOff>412376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57ACC38-D583-4146-AB4D-5AD3B0A89A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510540</xdr:colOff>
      <xdr:row>29</xdr:row>
      <xdr:rowOff>133350</xdr:rowOff>
    </xdr:from>
    <xdr:to>
      <xdr:col>7</xdr:col>
      <xdr:colOff>518160</xdr:colOff>
      <xdr:row>44</xdr:row>
      <xdr:rowOff>133350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AAE67EE-F224-5705-5ED7-C296DD65E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106680</xdr:colOff>
      <xdr:row>20</xdr:row>
      <xdr:rowOff>19050</xdr:rowOff>
    </xdr:from>
    <xdr:to>
      <xdr:col>15</xdr:col>
      <xdr:colOff>220980</xdr:colOff>
      <xdr:row>42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A36775EC-EA22-27DF-B97E-73F19A7213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41920" y="3752850"/>
              <a:ext cx="6210300" cy="41795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510540</xdr:colOff>
      <xdr:row>21</xdr:row>
      <xdr:rowOff>110490</xdr:rowOff>
    </xdr:from>
    <xdr:to>
      <xdr:col>7</xdr:col>
      <xdr:colOff>518160</xdr:colOff>
      <xdr:row>36</xdr:row>
      <xdr:rowOff>110490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DC3E94B-7F24-4E70-A9A1-6CA7327E7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il Lenard Lacson" refreshedDate="46123.417549189813" createdVersion="8" refreshedVersion="8" minRefreshableVersion="3" recordCount="200" xr:uid="{81A89B3A-08FF-43DE-B4E0-6E6E6769309F}">
  <cacheSource type="worksheet">
    <worksheetSource name="Table2"/>
  </cacheSource>
  <cacheFields count="6">
    <cacheField name="Vulnerable Groups " numFmtId="0">
      <sharedItems count="4">
        <s v="Micro-SMEs (Sari-Sari Stores/Small Eateries)"/>
        <s v="Bottom Electricity &amp; Utilities0% Income Households:"/>
        <s v="PUV Drivers &amp; Operators:"/>
        <s v="Subsistence Farmers &amp; Fisherfolk"/>
      </sharedItems>
    </cacheField>
    <cacheField name="Impacted Sectors" numFmtId="0">
      <sharedItems count="5">
        <s v="Agriculture &amp; Fisheries"/>
        <s v="Construction"/>
        <s v="Electricity &amp; Utilities"/>
        <s v="Land Transport &amp; Logistics"/>
        <s v="Food Manufacturing"/>
      </sharedItems>
    </cacheField>
    <cacheField name="Dominant Transmission Channels " numFmtId="0">
      <sharedItems count="3">
        <s v="The Logistic &quot;Ripple&quot; Effect"/>
        <s v="Direct Price Pass-Through"/>
        <s v="Second-Round Effects (Monetary &amp; Wage)"/>
      </sharedItems>
    </cacheField>
    <cacheField name="Contribution to Inflation " numFmtId="9">
      <sharedItems containsSemiMixedTypes="0" containsString="0" containsNumber="1" minValue="0.01" maxValue="0.05" count="5">
        <n v="0.04"/>
        <n v="0.01"/>
        <n v="0.05"/>
        <n v="0.03"/>
        <n v="0.02"/>
      </sharedItems>
    </cacheField>
    <cacheField name="Price Lag" numFmtId="0">
      <sharedItems containsSemiMixedTypes="0" containsString="0" containsNumber="1" containsInteger="1" minValue="1" maxValue="3"/>
    </cacheField>
    <cacheField name="Income to Expense Ratio " numFmtId="9">
      <sharedItems containsSemiMixedTypes="0" containsString="0" containsNumber="1" minValue="0.2" maxValue="0.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x v="0"/>
    <n v="1"/>
    <n v="0.42"/>
  </r>
  <r>
    <x v="1"/>
    <x v="0"/>
    <x v="1"/>
    <x v="1"/>
    <n v="2"/>
    <n v="0.4"/>
  </r>
  <r>
    <x v="2"/>
    <x v="0"/>
    <x v="0"/>
    <x v="1"/>
    <n v="1"/>
    <n v="0.37"/>
  </r>
  <r>
    <x v="3"/>
    <x v="1"/>
    <x v="2"/>
    <x v="2"/>
    <n v="2"/>
    <n v="0.24"/>
  </r>
  <r>
    <x v="1"/>
    <x v="0"/>
    <x v="2"/>
    <x v="1"/>
    <n v="2"/>
    <n v="0.2"/>
  </r>
  <r>
    <x v="1"/>
    <x v="2"/>
    <x v="2"/>
    <x v="3"/>
    <n v="2"/>
    <n v="0.38"/>
  </r>
  <r>
    <x v="0"/>
    <x v="3"/>
    <x v="1"/>
    <x v="2"/>
    <n v="1"/>
    <n v="0.3"/>
  </r>
  <r>
    <x v="2"/>
    <x v="2"/>
    <x v="0"/>
    <x v="0"/>
    <n v="2"/>
    <n v="0.21"/>
  </r>
  <r>
    <x v="3"/>
    <x v="4"/>
    <x v="0"/>
    <x v="4"/>
    <n v="3"/>
    <n v="0.39"/>
  </r>
  <r>
    <x v="1"/>
    <x v="3"/>
    <x v="0"/>
    <x v="4"/>
    <n v="2"/>
    <n v="0.28999999999999998"/>
  </r>
  <r>
    <x v="0"/>
    <x v="2"/>
    <x v="1"/>
    <x v="2"/>
    <n v="3"/>
    <n v="0.38"/>
  </r>
  <r>
    <x v="2"/>
    <x v="3"/>
    <x v="2"/>
    <x v="2"/>
    <n v="2"/>
    <n v="0.25"/>
  </r>
  <r>
    <x v="0"/>
    <x v="2"/>
    <x v="0"/>
    <x v="2"/>
    <n v="2"/>
    <n v="0.28999999999999998"/>
  </r>
  <r>
    <x v="3"/>
    <x v="1"/>
    <x v="1"/>
    <x v="4"/>
    <n v="3"/>
    <n v="0.24"/>
  </r>
  <r>
    <x v="2"/>
    <x v="0"/>
    <x v="1"/>
    <x v="2"/>
    <n v="1"/>
    <n v="0.28000000000000003"/>
  </r>
  <r>
    <x v="0"/>
    <x v="1"/>
    <x v="0"/>
    <x v="2"/>
    <n v="1"/>
    <n v="0.47"/>
  </r>
  <r>
    <x v="2"/>
    <x v="2"/>
    <x v="1"/>
    <x v="3"/>
    <n v="2"/>
    <n v="0.33"/>
  </r>
  <r>
    <x v="2"/>
    <x v="3"/>
    <x v="2"/>
    <x v="2"/>
    <n v="3"/>
    <n v="0.44"/>
  </r>
  <r>
    <x v="1"/>
    <x v="2"/>
    <x v="0"/>
    <x v="0"/>
    <n v="3"/>
    <n v="0.39"/>
  </r>
  <r>
    <x v="0"/>
    <x v="3"/>
    <x v="1"/>
    <x v="1"/>
    <n v="2"/>
    <n v="0.24"/>
  </r>
  <r>
    <x v="3"/>
    <x v="4"/>
    <x v="0"/>
    <x v="4"/>
    <n v="3"/>
    <n v="0.22"/>
  </r>
  <r>
    <x v="1"/>
    <x v="3"/>
    <x v="0"/>
    <x v="2"/>
    <n v="3"/>
    <n v="0.41"/>
  </r>
  <r>
    <x v="2"/>
    <x v="4"/>
    <x v="2"/>
    <x v="1"/>
    <n v="1"/>
    <n v="0.28000000000000003"/>
  </r>
  <r>
    <x v="3"/>
    <x v="3"/>
    <x v="2"/>
    <x v="4"/>
    <n v="3"/>
    <n v="0.46"/>
  </r>
  <r>
    <x v="0"/>
    <x v="4"/>
    <x v="1"/>
    <x v="3"/>
    <n v="1"/>
    <n v="0.21"/>
  </r>
  <r>
    <x v="1"/>
    <x v="3"/>
    <x v="2"/>
    <x v="2"/>
    <n v="3"/>
    <n v="0.39"/>
  </r>
  <r>
    <x v="3"/>
    <x v="3"/>
    <x v="2"/>
    <x v="0"/>
    <n v="2"/>
    <n v="0.24"/>
  </r>
  <r>
    <x v="3"/>
    <x v="0"/>
    <x v="1"/>
    <x v="4"/>
    <n v="2"/>
    <n v="0.27"/>
  </r>
  <r>
    <x v="0"/>
    <x v="3"/>
    <x v="1"/>
    <x v="0"/>
    <n v="2"/>
    <n v="0.34"/>
  </r>
  <r>
    <x v="1"/>
    <x v="2"/>
    <x v="1"/>
    <x v="2"/>
    <n v="3"/>
    <n v="0.6"/>
  </r>
  <r>
    <x v="3"/>
    <x v="3"/>
    <x v="0"/>
    <x v="4"/>
    <n v="1"/>
    <n v="0.6"/>
  </r>
  <r>
    <x v="3"/>
    <x v="4"/>
    <x v="0"/>
    <x v="2"/>
    <n v="3"/>
    <n v="0.6"/>
  </r>
  <r>
    <x v="0"/>
    <x v="3"/>
    <x v="1"/>
    <x v="2"/>
    <n v="2"/>
    <n v="0.5"/>
  </r>
  <r>
    <x v="0"/>
    <x v="0"/>
    <x v="1"/>
    <x v="0"/>
    <n v="2"/>
    <n v="0.65"/>
  </r>
  <r>
    <x v="3"/>
    <x v="0"/>
    <x v="1"/>
    <x v="2"/>
    <n v="1"/>
    <n v="0.55000000000000004"/>
  </r>
  <r>
    <x v="1"/>
    <x v="1"/>
    <x v="0"/>
    <x v="3"/>
    <n v="2"/>
    <n v="0.63"/>
  </r>
  <r>
    <x v="1"/>
    <x v="3"/>
    <x v="0"/>
    <x v="3"/>
    <n v="3"/>
    <n v="0.51"/>
  </r>
  <r>
    <x v="0"/>
    <x v="2"/>
    <x v="1"/>
    <x v="2"/>
    <n v="2"/>
    <n v="0.68"/>
  </r>
  <r>
    <x v="1"/>
    <x v="2"/>
    <x v="2"/>
    <x v="1"/>
    <n v="2"/>
    <n v="0.62"/>
  </r>
  <r>
    <x v="2"/>
    <x v="4"/>
    <x v="2"/>
    <x v="4"/>
    <n v="3"/>
    <n v="0.62"/>
  </r>
  <r>
    <x v="1"/>
    <x v="0"/>
    <x v="1"/>
    <x v="4"/>
    <n v="3"/>
    <n v="0.65"/>
  </r>
  <r>
    <x v="1"/>
    <x v="0"/>
    <x v="0"/>
    <x v="3"/>
    <n v="3"/>
    <n v="0.63"/>
  </r>
  <r>
    <x v="1"/>
    <x v="0"/>
    <x v="0"/>
    <x v="4"/>
    <n v="1"/>
    <n v="0.55000000000000004"/>
  </r>
  <r>
    <x v="3"/>
    <x v="2"/>
    <x v="0"/>
    <x v="0"/>
    <n v="2"/>
    <n v="0.6"/>
  </r>
  <r>
    <x v="0"/>
    <x v="1"/>
    <x v="1"/>
    <x v="1"/>
    <n v="1"/>
    <n v="0.68"/>
  </r>
  <r>
    <x v="0"/>
    <x v="4"/>
    <x v="1"/>
    <x v="4"/>
    <n v="1"/>
    <n v="0.63"/>
  </r>
  <r>
    <x v="2"/>
    <x v="2"/>
    <x v="2"/>
    <x v="0"/>
    <n v="3"/>
    <n v="0.7"/>
  </r>
  <r>
    <x v="2"/>
    <x v="0"/>
    <x v="0"/>
    <x v="3"/>
    <n v="2"/>
    <n v="0.64"/>
  </r>
  <r>
    <x v="1"/>
    <x v="3"/>
    <x v="2"/>
    <x v="1"/>
    <n v="1"/>
    <n v="0.65"/>
  </r>
  <r>
    <x v="1"/>
    <x v="0"/>
    <x v="0"/>
    <x v="3"/>
    <n v="1"/>
    <n v="0.62"/>
  </r>
  <r>
    <x v="0"/>
    <x v="4"/>
    <x v="0"/>
    <x v="3"/>
    <n v="3"/>
    <n v="0.54"/>
  </r>
  <r>
    <x v="2"/>
    <x v="2"/>
    <x v="1"/>
    <x v="1"/>
    <n v="3"/>
    <n v="0.54"/>
  </r>
  <r>
    <x v="2"/>
    <x v="3"/>
    <x v="1"/>
    <x v="3"/>
    <n v="2"/>
    <n v="0.57999999999999996"/>
  </r>
  <r>
    <x v="0"/>
    <x v="2"/>
    <x v="1"/>
    <x v="0"/>
    <n v="2"/>
    <n v="0.56000000000000005"/>
  </r>
  <r>
    <x v="0"/>
    <x v="0"/>
    <x v="0"/>
    <x v="1"/>
    <n v="1"/>
    <n v="0.64"/>
  </r>
  <r>
    <x v="0"/>
    <x v="0"/>
    <x v="2"/>
    <x v="2"/>
    <n v="1"/>
    <n v="0.52"/>
  </r>
  <r>
    <x v="2"/>
    <x v="1"/>
    <x v="2"/>
    <x v="4"/>
    <n v="3"/>
    <n v="0.51"/>
  </r>
  <r>
    <x v="2"/>
    <x v="0"/>
    <x v="0"/>
    <x v="1"/>
    <n v="3"/>
    <n v="0.53"/>
  </r>
  <r>
    <x v="0"/>
    <x v="2"/>
    <x v="2"/>
    <x v="4"/>
    <n v="2"/>
    <n v="0.56000000000000005"/>
  </r>
  <r>
    <x v="1"/>
    <x v="3"/>
    <x v="1"/>
    <x v="0"/>
    <n v="2"/>
    <n v="0.65"/>
  </r>
  <r>
    <x v="3"/>
    <x v="4"/>
    <x v="1"/>
    <x v="4"/>
    <n v="1"/>
    <n v="0.63"/>
  </r>
  <r>
    <x v="2"/>
    <x v="1"/>
    <x v="0"/>
    <x v="0"/>
    <n v="2"/>
    <n v="0.55000000000000004"/>
  </r>
  <r>
    <x v="0"/>
    <x v="3"/>
    <x v="1"/>
    <x v="1"/>
    <n v="2"/>
    <n v="0.67"/>
  </r>
  <r>
    <x v="2"/>
    <x v="4"/>
    <x v="1"/>
    <x v="2"/>
    <n v="1"/>
    <n v="0.56999999999999995"/>
  </r>
  <r>
    <x v="0"/>
    <x v="0"/>
    <x v="1"/>
    <x v="3"/>
    <n v="1"/>
    <n v="0.55000000000000004"/>
  </r>
  <r>
    <x v="3"/>
    <x v="2"/>
    <x v="2"/>
    <x v="3"/>
    <n v="1"/>
    <n v="0.65"/>
  </r>
  <r>
    <x v="3"/>
    <x v="1"/>
    <x v="0"/>
    <x v="1"/>
    <n v="3"/>
    <n v="0.69"/>
  </r>
  <r>
    <x v="2"/>
    <x v="0"/>
    <x v="2"/>
    <x v="4"/>
    <n v="3"/>
    <n v="0.62"/>
  </r>
  <r>
    <x v="1"/>
    <x v="1"/>
    <x v="1"/>
    <x v="2"/>
    <n v="1"/>
    <n v="0.63"/>
  </r>
  <r>
    <x v="0"/>
    <x v="1"/>
    <x v="1"/>
    <x v="4"/>
    <n v="1"/>
    <n v="0.63"/>
  </r>
  <r>
    <x v="0"/>
    <x v="3"/>
    <x v="2"/>
    <x v="4"/>
    <n v="3"/>
    <n v="0.62"/>
  </r>
  <r>
    <x v="2"/>
    <x v="0"/>
    <x v="2"/>
    <x v="2"/>
    <n v="3"/>
    <n v="0.65"/>
  </r>
  <r>
    <x v="3"/>
    <x v="1"/>
    <x v="1"/>
    <x v="1"/>
    <n v="3"/>
    <n v="0.59"/>
  </r>
  <r>
    <x v="1"/>
    <x v="3"/>
    <x v="0"/>
    <x v="3"/>
    <n v="2"/>
    <n v="0.56999999999999995"/>
  </r>
  <r>
    <x v="0"/>
    <x v="4"/>
    <x v="2"/>
    <x v="2"/>
    <n v="1"/>
    <n v="0.5"/>
  </r>
  <r>
    <x v="1"/>
    <x v="3"/>
    <x v="1"/>
    <x v="3"/>
    <n v="2"/>
    <n v="0.52"/>
  </r>
  <r>
    <x v="1"/>
    <x v="1"/>
    <x v="0"/>
    <x v="1"/>
    <n v="2"/>
    <n v="0.57999999999999996"/>
  </r>
  <r>
    <x v="1"/>
    <x v="1"/>
    <x v="2"/>
    <x v="1"/>
    <n v="3"/>
    <n v="0.62"/>
  </r>
  <r>
    <x v="2"/>
    <x v="3"/>
    <x v="2"/>
    <x v="2"/>
    <n v="2"/>
    <n v="0.56999999999999995"/>
  </r>
  <r>
    <x v="1"/>
    <x v="3"/>
    <x v="0"/>
    <x v="2"/>
    <n v="1"/>
    <n v="0.56999999999999995"/>
  </r>
  <r>
    <x v="2"/>
    <x v="1"/>
    <x v="2"/>
    <x v="4"/>
    <n v="1"/>
    <n v="0.57999999999999996"/>
  </r>
  <r>
    <x v="0"/>
    <x v="0"/>
    <x v="1"/>
    <x v="2"/>
    <n v="3"/>
    <n v="0.52"/>
  </r>
  <r>
    <x v="0"/>
    <x v="1"/>
    <x v="1"/>
    <x v="2"/>
    <n v="1"/>
    <n v="0.61"/>
  </r>
  <r>
    <x v="0"/>
    <x v="3"/>
    <x v="2"/>
    <x v="0"/>
    <n v="1"/>
    <n v="0.66"/>
  </r>
  <r>
    <x v="2"/>
    <x v="4"/>
    <x v="2"/>
    <x v="0"/>
    <n v="2"/>
    <n v="0.63"/>
  </r>
  <r>
    <x v="0"/>
    <x v="3"/>
    <x v="2"/>
    <x v="4"/>
    <n v="3"/>
    <n v="0.62"/>
  </r>
  <r>
    <x v="0"/>
    <x v="3"/>
    <x v="2"/>
    <x v="4"/>
    <n v="1"/>
    <n v="0.62"/>
  </r>
  <r>
    <x v="0"/>
    <x v="0"/>
    <x v="1"/>
    <x v="4"/>
    <n v="1"/>
    <n v="0.5"/>
  </r>
  <r>
    <x v="3"/>
    <x v="2"/>
    <x v="1"/>
    <x v="3"/>
    <n v="3"/>
    <n v="0.56999999999999995"/>
  </r>
  <r>
    <x v="1"/>
    <x v="0"/>
    <x v="0"/>
    <x v="3"/>
    <n v="3"/>
    <n v="0.56999999999999995"/>
  </r>
  <r>
    <x v="1"/>
    <x v="0"/>
    <x v="0"/>
    <x v="3"/>
    <n v="3"/>
    <n v="0.62"/>
  </r>
  <r>
    <x v="0"/>
    <x v="2"/>
    <x v="1"/>
    <x v="3"/>
    <n v="2"/>
    <n v="0.68"/>
  </r>
  <r>
    <x v="0"/>
    <x v="4"/>
    <x v="1"/>
    <x v="3"/>
    <n v="3"/>
    <n v="0.6"/>
  </r>
  <r>
    <x v="3"/>
    <x v="3"/>
    <x v="2"/>
    <x v="2"/>
    <n v="2"/>
    <n v="0.51"/>
  </r>
  <r>
    <x v="0"/>
    <x v="3"/>
    <x v="1"/>
    <x v="0"/>
    <n v="2"/>
    <n v="0.63"/>
  </r>
  <r>
    <x v="3"/>
    <x v="3"/>
    <x v="2"/>
    <x v="1"/>
    <n v="3"/>
    <n v="0.54"/>
  </r>
  <r>
    <x v="2"/>
    <x v="2"/>
    <x v="2"/>
    <x v="1"/>
    <n v="2"/>
    <n v="0.56000000000000005"/>
  </r>
  <r>
    <x v="1"/>
    <x v="0"/>
    <x v="1"/>
    <x v="3"/>
    <n v="3"/>
    <n v="0.5"/>
  </r>
  <r>
    <x v="3"/>
    <x v="3"/>
    <x v="1"/>
    <x v="0"/>
    <n v="2"/>
    <n v="0.59"/>
  </r>
  <r>
    <x v="3"/>
    <x v="0"/>
    <x v="1"/>
    <x v="0"/>
    <n v="1"/>
    <n v="0.66"/>
  </r>
  <r>
    <x v="3"/>
    <x v="4"/>
    <x v="1"/>
    <x v="2"/>
    <n v="2"/>
    <n v="0.7"/>
  </r>
  <r>
    <x v="1"/>
    <x v="3"/>
    <x v="1"/>
    <x v="2"/>
    <n v="2"/>
    <n v="0.59"/>
  </r>
  <r>
    <x v="1"/>
    <x v="4"/>
    <x v="2"/>
    <x v="4"/>
    <n v="1"/>
    <n v="0.63"/>
  </r>
  <r>
    <x v="1"/>
    <x v="2"/>
    <x v="2"/>
    <x v="0"/>
    <n v="2"/>
    <n v="0.61"/>
  </r>
  <r>
    <x v="3"/>
    <x v="3"/>
    <x v="2"/>
    <x v="2"/>
    <n v="1"/>
    <n v="0.59"/>
  </r>
  <r>
    <x v="2"/>
    <x v="1"/>
    <x v="1"/>
    <x v="3"/>
    <n v="3"/>
    <n v="0.65"/>
  </r>
  <r>
    <x v="3"/>
    <x v="2"/>
    <x v="2"/>
    <x v="4"/>
    <n v="1"/>
    <n v="0.67"/>
  </r>
  <r>
    <x v="3"/>
    <x v="0"/>
    <x v="2"/>
    <x v="3"/>
    <n v="3"/>
    <n v="0.62"/>
  </r>
  <r>
    <x v="2"/>
    <x v="0"/>
    <x v="1"/>
    <x v="4"/>
    <n v="2"/>
    <n v="0.56999999999999995"/>
  </r>
  <r>
    <x v="1"/>
    <x v="1"/>
    <x v="1"/>
    <x v="0"/>
    <n v="2"/>
    <n v="0.51"/>
  </r>
  <r>
    <x v="3"/>
    <x v="1"/>
    <x v="2"/>
    <x v="2"/>
    <n v="3"/>
    <n v="0.6"/>
  </r>
  <r>
    <x v="1"/>
    <x v="0"/>
    <x v="2"/>
    <x v="0"/>
    <n v="3"/>
    <n v="0.7"/>
  </r>
  <r>
    <x v="0"/>
    <x v="0"/>
    <x v="0"/>
    <x v="3"/>
    <n v="3"/>
    <n v="0.69"/>
  </r>
  <r>
    <x v="1"/>
    <x v="0"/>
    <x v="2"/>
    <x v="1"/>
    <n v="2"/>
    <n v="0.64"/>
  </r>
  <r>
    <x v="3"/>
    <x v="1"/>
    <x v="1"/>
    <x v="0"/>
    <n v="2"/>
    <n v="0.5"/>
  </r>
  <r>
    <x v="3"/>
    <x v="0"/>
    <x v="0"/>
    <x v="1"/>
    <n v="2"/>
    <n v="0.6"/>
  </r>
  <r>
    <x v="3"/>
    <x v="1"/>
    <x v="1"/>
    <x v="3"/>
    <n v="2"/>
    <n v="0.57999999999999996"/>
  </r>
  <r>
    <x v="0"/>
    <x v="4"/>
    <x v="0"/>
    <x v="0"/>
    <n v="2"/>
    <n v="0.56999999999999995"/>
  </r>
  <r>
    <x v="0"/>
    <x v="2"/>
    <x v="2"/>
    <x v="1"/>
    <n v="3"/>
    <n v="0.67"/>
  </r>
  <r>
    <x v="1"/>
    <x v="1"/>
    <x v="0"/>
    <x v="3"/>
    <n v="2"/>
    <n v="0.55000000000000004"/>
  </r>
  <r>
    <x v="0"/>
    <x v="0"/>
    <x v="2"/>
    <x v="1"/>
    <n v="2"/>
    <n v="0.67"/>
  </r>
  <r>
    <x v="1"/>
    <x v="0"/>
    <x v="2"/>
    <x v="0"/>
    <n v="1"/>
    <n v="0.59"/>
  </r>
  <r>
    <x v="0"/>
    <x v="1"/>
    <x v="0"/>
    <x v="2"/>
    <n v="1"/>
    <n v="0.64"/>
  </r>
  <r>
    <x v="3"/>
    <x v="0"/>
    <x v="1"/>
    <x v="3"/>
    <n v="3"/>
    <n v="0.69"/>
  </r>
  <r>
    <x v="3"/>
    <x v="3"/>
    <x v="2"/>
    <x v="4"/>
    <n v="1"/>
    <n v="0.57999999999999996"/>
  </r>
  <r>
    <x v="1"/>
    <x v="1"/>
    <x v="1"/>
    <x v="4"/>
    <n v="2"/>
    <n v="0.56999999999999995"/>
  </r>
  <r>
    <x v="1"/>
    <x v="4"/>
    <x v="2"/>
    <x v="0"/>
    <n v="3"/>
    <n v="0.67"/>
  </r>
  <r>
    <x v="3"/>
    <x v="0"/>
    <x v="2"/>
    <x v="3"/>
    <n v="2"/>
    <n v="0.62"/>
  </r>
  <r>
    <x v="2"/>
    <x v="0"/>
    <x v="1"/>
    <x v="3"/>
    <n v="1"/>
    <n v="0.56999999999999995"/>
  </r>
  <r>
    <x v="3"/>
    <x v="3"/>
    <x v="1"/>
    <x v="4"/>
    <n v="1"/>
    <n v="0.62"/>
  </r>
  <r>
    <x v="2"/>
    <x v="3"/>
    <x v="1"/>
    <x v="1"/>
    <n v="2"/>
    <n v="0.57999999999999996"/>
  </r>
  <r>
    <x v="2"/>
    <x v="2"/>
    <x v="2"/>
    <x v="3"/>
    <n v="3"/>
    <n v="0.56000000000000005"/>
  </r>
  <r>
    <x v="0"/>
    <x v="4"/>
    <x v="1"/>
    <x v="3"/>
    <n v="1"/>
    <n v="0.7"/>
  </r>
  <r>
    <x v="1"/>
    <x v="0"/>
    <x v="1"/>
    <x v="1"/>
    <n v="1"/>
    <n v="0.56000000000000005"/>
  </r>
  <r>
    <x v="0"/>
    <x v="2"/>
    <x v="1"/>
    <x v="2"/>
    <n v="3"/>
    <n v="0.62"/>
  </r>
  <r>
    <x v="2"/>
    <x v="0"/>
    <x v="2"/>
    <x v="0"/>
    <n v="1"/>
    <n v="0.69"/>
  </r>
  <r>
    <x v="3"/>
    <x v="4"/>
    <x v="0"/>
    <x v="3"/>
    <n v="1"/>
    <n v="0.52"/>
  </r>
  <r>
    <x v="3"/>
    <x v="3"/>
    <x v="1"/>
    <x v="0"/>
    <n v="3"/>
    <n v="0.66"/>
  </r>
  <r>
    <x v="0"/>
    <x v="0"/>
    <x v="1"/>
    <x v="0"/>
    <n v="1"/>
    <n v="0.68"/>
  </r>
  <r>
    <x v="2"/>
    <x v="0"/>
    <x v="1"/>
    <x v="0"/>
    <n v="2"/>
    <n v="0.55000000000000004"/>
  </r>
  <r>
    <x v="0"/>
    <x v="0"/>
    <x v="2"/>
    <x v="1"/>
    <n v="3"/>
    <n v="0.54"/>
  </r>
  <r>
    <x v="2"/>
    <x v="3"/>
    <x v="2"/>
    <x v="1"/>
    <n v="1"/>
    <n v="0.51"/>
  </r>
  <r>
    <x v="3"/>
    <x v="4"/>
    <x v="0"/>
    <x v="4"/>
    <n v="2"/>
    <n v="0.53"/>
  </r>
  <r>
    <x v="0"/>
    <x v="3"/>
    <x v="0"/>
    <x v="1"/>
    <n v="1"/>
    <n v="0.57999999999999996"/>
  </r>
  <r>
    <x v="2"/>
    <x v="1"/>
    <x v="0"/>
    <x v="3"/>
    <n v="3"/>
    <n v="0.54"/>
  </r>
  <r>
    <x v="1"/>
    <x v="4"/>
    <x v="1"/>
    <x v="2"/>
    <n v="3"/>
    <n v="0.53"/>
  </r>
  <r>
    <x v="1"/>
    <x v="3"/>
    <x v="2"/>
    <x v="0"/>
    <n v="1"/>
    <n v="0.57999999999999996"/>
  </r>
  <r>
    <x v="1"/>
    <x v="0"/>
    <x v="0"/>
    <x v="4"/>
    <n v="3"/>
    <n v="0.54"/>
  </r>
  <r>
    <x v="1"/>
    <x v="0"/>
    <x v="2"/>
    <x v="2"/>
    <n v="3"/>
    <n v="0.57999999999999996"/>
  </r>
  <r>
    <x v="1"/>
    <x v="2"/>
    <x v="2"/>
    <x v="3"/>
    <n v="1"/>
    <n v="0.65"/>
  </r>
  <r>
    <x v="3"/>
    <x v="3"/>
    <x v="1"/>
    <x v="3"/>
    <n v="3"/>
    <n v="0.53"/>
  </r>
  <r>
    <x v="1"/>
    <x v="3"/>
    <x v="2"/>
    <x v="1"/>
    <n v="1"/>
    <n v="0.67"/>
  </r>
  <r>
    <x v="1"/>
    <x v="4"/>
    <x v="2"/>
    <x v="2"/>
    <n v="1"/>
    <n v="0.6"/>
  </r>
  <r>
    <x v="0"/>
    <x v="4"/>
    <x v="0"/>
    <x v="2"/>
    <n v="3"/>
    <n v="0.5"/>
  </r>
  <r>
    <x v="2"/>
    <x v="2"/>
    <x v="0"/>
    <x v="1"/>
    <n v="3"/>
    <n v="0.69"/>
  </r>
  <r>
    <x v="0"/>
    <x v="2"/>
    <x v="1"/>
    <x v="2"/>
    <n v="1"/>
    <n v="0.8"/>
  </r>
  <r>
    <x v="3"/>
    <x v="4"/>
    <x v="0"/>
    <x v="0"/>
    <n v="2"/>
    <n v="0.73"/>
  </r>
  <r>
    <x v="3"/>
    <x v="2"/>
    <x v="0"/>
    <x v="3"/>
    <n v="3"/>
    <n v="0.72"/>
  </r>
  <r>
    <x v="2"/>
    <x v="1"/>
    <x v="2"/>
    <x v="2"/>
    <n v="1"/>
    <n v="0.73"/>
  </r>
  <r>
    <x v="1"/>
    <x v="3"/>
    <x v="2"/>
    <x v="3"/>
    <n v="2"/>
    <n v="0.86"/>
  </r>
  <r>
    <x v="0"/>
    <x v="2"/>
    <x v="2"/>
    <x v="2"/>
    <n v="1"/>
    <n v="0.77"/>
  </r>
  <r>
    <x v="0"/>
    <x v="2"/>
    <x v="1"/>
    <x v="2"/>
    <n v="1"/>
    <n v="0.85"/>
  </r>
  <r>
    <x v="0"/>
    <x v="0"/>
    <x v="0"/>
    <x v="4"/>
    <n v="1"/>
    <n v="0.83"/>
  </r>
  <r>
    <x v="0"/>
    <x v="4"/>
    <x v="2"/>
    <x v="1"/>
    <n v="2"/>
    <n v="0.88"/>
  </r>
  <r>
    <x v="2"/>
    <x v="4"/>
    <x v="0"/>
    <x v="3"/>
    <n v="3"/>
    <n v="0.76"/>
  </r>
  <r>
    <x v="2"/>
    <x v="4"/>
    <x v="1"/>
    <x v="0"/>
    <n v="1"/>
    <n v="0.77"/>
  </r>
  <r>
    <x v="0"/>
    <x v="4"/>
    <x v="1"/>
    <x v="3"/>
    <n v="1"/>
    <n v="0.72"/>
  </r>
  <r>
    <x v="0"/>
    <x v="4"/>
    <x v="1"/>
    <x v="0"/>
    <n v="1"/>
    <n v="0.86"/>
  </r>
  <r>
    <x v="0"/>
    <x v="0"/>
    <x v="2"/>
    <x v="3"/>
    <n v="2"/>
    <n v="0.78"/>
  </r>
  <r>
    <x v="1"/>
    <x v="4"/>
    <x v="0"/>
    <x v="2"/>
    <n v="3"/>
    <n v="0.78"/>
  </r>
  <r>
    <x v="2"/>
    <x v="3"/>
    <x v="0"/>
    <x v="3"/>
    <n v="2"/>
    <n v="0.7"/>
  </r>
  <r>
    <x v="3"/>
    <x v="3"/>
    <x v="1"/>
    <x v="2"/>
    <n v="2"/>
    <n v="0.88"/>
  </r>
  <r>
    <x v="1"/>
    <x v="3"/>
    <x v="1"/>
    <x v="3"/>
    <n v="3"/>
    <n v="0.8"/>
  </r>
  <r>
    <x v="0"/>
    <x v="3"/>
    <x v="0"/>
    <x v="3"/>
    <n v="2"/>
    <n v="0.77"/>
  </r>
  <r>
    <x v="2"/>
    <x v="1"/>
    <x v="2"/>
    <x v="0"/>
    <n v="1"/>
    <n v="0.76"/>
  </r>
  <r>
    <x v="2"/>
    <x v="4"/>
    <x v="2"/>
    <x v="3"/>
    <n v="2"/>
    <n v="0.84"/>
  </r>
  <r>
    <x v="2"/>
    <x v="4"/>
    <x v="2"/>
    <x v="4"/>
    <n v="1"/>
    <n v="0.8"/>
  </r>
  <r>
    <x v="2"/>
    <x v="4"/>
    <x v="0"/>
    <x v="2"/>
    <n v="3"/>
    <n v="0.82"/>
  </r>
  <r>
    <x v="1"/>
    <x v="3"/>
    <x v="1"/>
    <x v="0"/>
    <n v="2"/>
    <n v="0.78"/>
  </r>
  <r>
    <x v="2"/>
    <x v="4"/>
    <x v="0"/>
    <x v="1"/>
    <n v="3"/>
    <n v="0.74"/>
  </r>
  <r>
    <x v="0"/>
    <x v="3"/>
    <x v="1"/>
    <x v="1"/>
    <n v="2"/>
    <n v="0.89"/>
  </r>
  <r>
    <x v="2"/>
    <x v="2"/>
    <x v="0"/>
    <x v="3"/>
    <n v="2"/>
    <n v="0.81"/>
  </r>
  <r>
    <x v="1"/>
    <x v="1"/>
    <x v="0"/>
    <x v="2"/>
    <n v="2"/>
    <n v="0.76"/>
  </r>
  <r>
    <x v="0"/>
    <x v="3"/>
    <x v="2"/>
    <x v="2"/>
    <n v="1"/>
    <n v="0.85"/>
  </r>
  <r>
    <x v="0"/>
    <x v="3"/>
    <x v="1"/>
    <x v="2"/>
    <n v="2"/>
    <n v="0.84"/>
  </r>
  <r>
    <x v="0"/>
    <x v="2"/>
    <x v="0"/>
    <x v="2"/>
    <n v="2"/>
    <n v="0.88"/>
  </r>
  <r>
    <x v="2"/>
    <x v="4"/>
    <x v="1"/>
    <x v="0"/>
    <n v="3"/>
    <n v="0.84"/>
  </r>
  <r>
    <x v="3"/>
    <x v="2"/>
    <x v="2"/>
    <x v="2"/>
    <n v="3"/>
    <n v="0.72"/>
  </r>
  <r>
    <x v="3"/>
    <x v="0"/>
    <x v="0"/>
    <x v="3"/>
    <n v="3"/>
    <n v="0.73"/>
  </r>
  <r>
    <x v="3"/>
    <x v="3"/>
    <x v="0"/>
    <x v="4"/>
    <n v="2"/>
    <n v="0.85"/>
  </r>
  <r>
    <x v="2"/>
    <x v="2"/>
    <x v="1"/>
    <x v="1"/>
    <n v="3"/>
    <n v="0.81"/>
  </r>
  <r>
    <x v="3"/>
    <x v="3"/>
    <x v="1"/>
    <x v="0"/>
    <n v="3"/>
    <n v="0.75"/>
  </r>
  <r>
    <x v="2"/>
    <x v="3"/>
    <x v="0"/>
    <x v="4"/>
    <n v="2"/>
    <n v="0.84"/>
  </r>
  <r>
    <x v="1"/>
    <x v="4"/>
    <x v="2"/>
    <x v="1"/>
    <n v="2"/>
    <n v="0.83"/>
  </r>
  <r>
    <x v="2"/>
    <x v="0"/>
    <x v="1"/>
    <x v="1"/>
    <n v="2"/>
    <n v="0.86"/>
  </r>
  <r>
    <x v="3"/>
    <x v="4"/>
    <x v="0"/>
    <x v="1"/>
    <n v="1"/>
    <n v="0.87"/>
  </r>
  <r>
    <x v="0"/>
    <x v="1"/>
    <x v="0"/>
    <x v="2"/>
    <n v="3"/>
    <n v="0.8"/>
  </r>
  <r>
    <x v="2"/>
    <x v="4"/>
    <x v="0"/>
    <x v="3"/>
    <n v="1"/>
    <n v="0.78"/>
  </r>
  <r>
    <x v="1"/>
    <x v="1"/>
    <x v="2"/>
    <x v="4"/>
    <n v="1"/>
    <n v="0.82"/>
  </r>
  <r>
    <x v="3"/>
    <x v="4"/>
    <x v="0"/>
    <x v="3"/>
    <n v="2"/>
    <n v="0.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25DA3F-55B4-439F-81DF-FAEB58AB20A6}" name="PivotTable88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VG">
  <location ref="D17:E21" firstHeaderRow="1" firstDataRow="1" firstDataCol="1"/>
  <pivotFields count="6">
    <pivotField showAll="0">
      <items count="5">
        <item x="1"/>
        <item x="0"/>
        <item x="2"/>
        <item x="3"/>
        <item t="default"/>
      </items>
    </pivotField>
    <pivotField showAll="0">
      <items count="6">
        <item x="0"/>
        <item x="1"/>
        <item x="2"/>
        <item x="4"/>
        <item x="3"/>
        <item t="default"/>
      </items>
    </pivotField>
    <pivotField axis="axisRow" dataField="1" showAll="0">
      <items count="4">
        <item x="1"/>
        <item x="2"/>
        <item x="0"/>
        <item t="default"/>
      </items>
    </pivotField>
    <pivotField numFmtId="9" showAll="0"/>
    <pivotField showAll="0"/>
    <pivotField numFmtId="9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Dominant Transmission Channels " fld="2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EA596E-FF88-4A9A-AE13-E57CFDB5732C}" name="PivotTable51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ies">
  <location ref="G11:H94" firstHeaderRow="1" firstDataRow="1" firstDataCol="1"/>
  <pivotFields count="6">
    <pivotField axis="axisRow" showAll="0">
      <items count="5">
        <item x="1"/>
        <item x="0"/>
        <item x="2"/>
        <item x="3"/>
        <item t="default"/>
      </items>
    </pivotField>
    <pivotField axis="axisRow" showAll="0">
      <items count="6">
        <item x="0"/>
        <item x="1"/>
        <item x="2"/>
        <item x="4"/>
        <item x="3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numFmtId="9" showAll="0">
      <items count="6">
        <item x="1"/>
        <item x="4"/>
        <item x="3"/>
        <item x="0"/>
        <item x="2"/>
        <item t="default"/>
      </items>
    </pivotField>
    <pivotField showAll="0"/>
    <pivotField numFmtId="9" showAll="0"/>
  </pivotFields>
  <rowFields count="3">
    <field x="0"/>
    <field x="1"/>
    <field x="2"/>
  </rowFields>
  <rowItems count="83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 r="1">
      <x v="4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 r="1">
      <x v="4"/>
    </i>
    <i r="2">
      <x/>
    </i>
    <i r="2">
      <x v="1"/>
    </i>
    <i r="2">
      <x v="2"/>
    </i>
    <i>
      <x v="2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 r="1">
      <x v="4"/>
    </i>
    <i r="2">
      <x/>
    </i>
    <i r="2">
      <x v="1"/>
    </i>
    <i r="2">
      <x v="2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2"/>
    </i>
    <i r="1">
      <x v="4"/>
    </i>
    <i r="2">
      <x/>
    </i>
    <i r="2">
      <x v="1"/>
    </i>
    <i r="2">
      <x v="2"/>
    </i>
    <i t="grand">
      <x/>
    </i>
  </rowItems>
  <colItems count="1">
    <i/>
  </colItems>
  <dataFields count="1">
    <dataField name="Average of Contribution to Inflation " fld="3" subtotal="average" baseField="0" baseItem="0" numFmtId="9"/>
  </dataFields>
  <formats count="3">
    <format dxfId="2">
      <pivotArea collapsedLevelsAreSubtotals="1" fieldPosition="0">
        <references count="1">
          <reference field="1" count="0"/>
        </references>
      </pivotArea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DC7E4D-7FF3-44C7-9740-2CF8EA4E8DB0}" name="PivotTable20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7" firstHeaderRow="1" firstDataRow="1" firstDataCol="1"/>
  <pivotFields count="6">
    <pivotField showAll="0"/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dataField="1" numFmtId="9" showAll="0"/>
    <pivotField showAll="0"/>
    <pivotField numFmtId="9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ontribution to Inflation " fld="3" subtotal="average" baseField="1" baseItem="0" numFmtId="9"/>
  </dataFields>
  <formats count="1">
    <format dxfId="4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41D78A-B65C-4A01-91A5-822D85E14118}" name="PivotTable10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S">
  <location ref="G3:H9" firstHeaderRow="1" firstDataRow="1" firstDataCol="1"/>
  <pivotFields count="6">
    <pivotField showAll="0"/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numFmtId="9" showAll="0"/>
    <pivotField dataField="1" showAll="0"/>
    <pivotField numFmtId="9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rice Lag in Months " fld="4" subtotal="average" baseField="1" baseItem="0"/>
  </dataFields>
  <formats count="1">
    <format dxfId="3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EA84A-07AB-429C-B9BC-61E245A843C1}" name="PivotTable7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VG">
  <location ref="D10:E15" firstHeaderRow="1" firstDataRow="1" firstDataCol="1"/>
  <pivotFields count="6">
    <pivotField axis="axisRow" showAll="0">
      <items count="5">
        <item x="1"/>
        <item x="0"/>
        <item x="2"/>
        <item x="3"/>
        <item t="default"/>
      </items>
    </pivotField>
    <pivotField showAll="0">
      <items count="6">
        <item x="0"/>
        <item x="1"/>
        <item x="2"/>
        <item x="4"/>
        <item x="3"/>
        <item t="default"/>
      </items>
    </pivotField>
    <pivotField dataField="1" showAll="0"/>
    <pivotField numFmtId="9" showAll="0"/>
    <pivotField showAll="0"/>
    <pivotField numFmtId="9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IS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13A7E2-8166-4F02-B80B-4E5122582B30}" name="PivotTable6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VG">
  <location ref="D3:E8" firstHeaderRow="1" firstDataRow="1" firstDataCol="1"/>
  <pivotFields count="6">
    <pivotField axis="axisRow" showAll="0">
      <items count="5">
        <item x="1"/>
        <item x="0"/>
        <item x="2"/>
        <item x="3"/>
        <item t="default"/>
      </items>
    </pivotField>
    <pivotField dataField="1" showAll="0">
      <items count="6">
        <item x="0"/>
        <item x="1"/>
        <item x="2"/>
        <item x="4"/>
        <item x="3"/>
        <item t="default"/>
      </items>
    </pivotField>
    <pivotField showAll="0"/>
    <pivotField numFmtId="9" showAll="0"/>
    <pivotField showAll="0"/>
    <pivotField numFmtId="9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I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7304B6-DAAD-4A09-A06D-9AE6A0E65453}" name="PivotTable5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6">
    <pivotField showAll="0"/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numFmtId="9" showAll="0"/>
    <pivotField showAll="0"/>
    <pivotField dataField="1" numFmtId="9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Income to Expense Ratio " fld="5" subtotal="average" baseField="1" baseItem="0" numFmtId="9"/>
  </dataFields>
  <formats count="1">
    <format dxfId="5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F59066-08C9-4EE3-9FEF-47DA5C3D538A}" name="Table2" displayName="Table2" ref="A1:F201" totalsRowShown="0">
  <autoFilter ref="A1:F201" xr:uid="{49F59066-08C9-4EE3-9FEF-47DA5C3D538A}"/>
  <tableColumns count="6">
    <tableColumn id="1" xr3:uid="{97EEA559-41E1-44DC-813E-00BC6FD833C0}" name="Vulnerable Groups "/>
    <tableColumn id="2" xr3:uid="{96E8C7DA-4536-43D4-A478-CBDE2574A6E3}" name="Impacted Sectors"/>
    <tableColumn id="3" xr3:uid="{AA760272-8234-4B48-A15D-2236B46A1113}" name="Dominant Transmission Channels "/>
    <tableColumn id="4" xr3:uid="{FF1EA694-56CA-4EDB-9BDE-9E6C78CA18AB}" name="Contribution to Inflation " dataCellStyle="Percent"/>
    <tableColumn id="5" xr3:uid="{431F8107-8596-4574-BF0F-42BF73947313}" name="Price Lag (Months)" dataDxfId="6"/>
    <tableColumn id="6" xr3:uid="{2CB9CE31-DD45-48E7-9C23-06F2E13AFCC6}" name="Income to Expense Ratio " dataCellStyle="Perce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6325F-1A41-47B1-B59F-E0A94B597170}">
  <dimension ref="A1:F201"/>
  <sheetViews>
    <sheetView workbookViewId="0">
      <selection activeCell="A2" sqref="A2"/>
    </sheetView>
  </sheetViews>
  <sheetFormatPr defaultRowHeight="14.4" x14ac:dyDescent="0.3"/>
  <cols>
    <col min="1" max="1" width="44.44140625" bestFit="1" customWidth="1"/>
    <col min="2" max="2" width="22.6640625" bestFit="1" customWidth="1"/>
    <col min="3" max="3" width="36" bestFit="1" customWidth="1"/>
    <col min="4" max="4" width="24.44140625" bestFit="1" customWidth="1"/>
    <col min="5" max="5" width="10.6640625" bestFit="1" customWidth="1"/>
    <col min="6" max="6" width="24.6640625" bestFit="1" customWidth="1"/>
  </cols>
  <sheetData>
    <row r="1" spans="1:6" x14ac:dyDescent="0.3">
      <c r="A1" t="s">
        <v>3</v>
      </c>
      <c r="B1" t="s">
        <v>4</v>
      </c>
      <c r="C1" t="s">
        <v>5</v>
      </c>
      <c r="D1" t="s">
        <v>15</v>
      </c>
      <c r="E1" t="s">
        <v>28</v>
      </c>
      <c r="F1" t="s">
        <v>19</v>
      </c>
    </row>
    <row r="2" spans="1:6" x14ac:dyDescent="0.3">
      <c r="A2" t="s">
        <v>2</v>
      </c>
      <c r="B2" t="s">
        <v>7</v>
      </c>
      <c r="C2" t="s">
        <v>13</v>
      </c>
      <c r="D2" s="6">
        <v>0.04</v>
      </c>
      <c r="E2">
        <v>1</v>
      </c>
      <c r="F2" s="6">
        <v>0.42</v>
      </c>
    </row>
    <row r="3" spans="1:6" x14ac:dyDescent="0.3">
      <c r="A3" t="s">
        <v>8</v>
      </c>
      <c r="B3" t="s">
        <v>7</v>
      </c>
      <c r="C3" t="s">
        <v>12</v>
      </c>
      <c r="D3" s="6">
        <v>0.01</v>
      </c>
      <c r="E3">
        <v>2</v>
      </c>
      <c r="F3" s="6">
        <v>0.4</v>
      </c>
    </row>
    <row r="4" spans="1:6" x14ac:dyDescent="0.3">
      <c r="A4" t="s">
        <v>0</v>
      </c>
      <c r="B4" t="s">
        <v>7</v>
      </c>
      <c r="C4" t="s">
        <v>13</v>
      </c>
      <c r="D4" s="6">
        <v>0.01</v>
      </c>
      <c r="E4">
        <v>1</v>
      </c>
      <c r="F4" s="6">
        <v>0.37</v>
      </c>
    </row>
    <row r="5" spans="1:6" x14ac:dyDescent="0.3">
      <c r="A5" t="s">
        <v>1</v>
      </c>
      <c r="B5" t="s">
        <v>11</v>
      </c>
      <c r="C5" t="s">
        <v>14</v>
      </c>
      <c r="D5" s="6">
        <v>0.05</v>
      </c>
      <c r="E5">
        <v>2</v>
      </c>
      <c r="F5" s="6">
        <v>0.24</v>
      </c>
    </row>
    <row r="6" spans="1:6" x14ac:dyDescent="0.3">
      <c r="A6" t="s">
        <v>8</v>
      </c>
      <c r="B6" t="s">
        <v>7</v>
      </c>
      <c r="C6" t="s">
        <v>14</v>
      </c>
      <c r="D6" s="6">
        <v>0.01</v>
      </c>
      <c r="E6">
        <v>2</v>
      </c>
      <c r="F6" s="6">
        <v>0.2</v>
      </c>
    </row>
    <row r="7" spans="1:6" x14ac:dyDescent="0.3">
      <c r="A7" t="s">
        <v>8</v>
      </c>
      <c r="B7" t="s">
        <v>9</v>
      </c>
      <c r="C7" t="s">
        <v>14</v>
      </c>
      <c r="D7" s="6">
        <v>0.03</v>
      </c>
      <c r="E7">
        <v>2</v>
      </c>
      <c r="F7" s="6">
        <v>0.38</v>
      </c>
    </row>
    <row r="8" spans="1:6" x14ac:dyDescent="0.3">
      <c r="A8" t="s">
        <v>2</v>
      </c>
      <c r="B8" t="s">
        <v>6</v>
      </c>
      <c r="C8" t="s">
        <v>12</v>
      </c>
      <c r="D8" s="6">
        <v>0.05</v>
      </c>
      <c r="E8">
        <v>1</v>
      </c>
      <c r="F8" s="6">
        <v>0.3</v>
      </c>
    </row>
    <row r="9" spans="1:6" x14ac:dyDescent="0.3">
      <c r="A9" t="s">
        <v>0</v>
      </c>
      <c r="B9" t="s">
        <v>9</v>
      </c>
      <c r="C9" t="s">
        <v>13</v>
      </c>
      <c r="D9" s="6">
        <v>0.04</v>
      </c>
      <c r="E9">
        <v>2</v>
      </c>
      <c r="F9" s="6">
        <v>0.21</v>
      </c>
    </row>
    <row r="10" spans="1:6" x14ac:dyDescent="0.3">
      <c r="A10" t="s">
        <v>1</v>
      </c>
      <c r="B10" t="s">
        <v>10</v>
      </c>
      <c r="C10" t="s">
        <v>13</v>
      </c>
      <c r="D10" s="6">
        <v>0.02</v>
      </c>
      <c r="E10">
        <v>3</v>
      </c>
      <c r="F10" s="6">
        <v>0.39</v>
      </c>
    </row>
    <row r="11" spans="1:6" x14ac:dyDescent="0.3">
      <c r="A11" t="s">
        <v>8</v>
      </c>
      <c r="B11" t="s">
        <v>6</v>
      </c>
      <c r="C11" t="s">
        <v>13</v>
      </c>
      <c r="D11" s="6">
        <v>0.02</v>
      </c>
      <c r="E11">
        <v>2</v>
      </c>
      <c r="F11" s="6">
        <v>0.28999999999999998</v>
      </c>
    </row>
    <row r="12" spans="1:6" x14ac:dyDescent="0.3">
      <c r="A12" t="s">
        <v>2</v>
      </c>
      <c r="B12" t="s">
        <v>9</v>
      </c>
      <c r="C12" t="s">
        <v>12</v>
      </c>
      <c r="D12" s="6">
        <v>0.05</v>
      </c>
      <c r="E12">
        <v>3</v>
      </c>
      <c r="F12" s="6">
        <v>0.38</v>
      </c>
    </row>
    <row r="13" spans="1:6" x14ac:dyDescent="0.3">
      <c r="A13" t="s">
        <v>0</v>
      </c>
      <c r="B13" t="s">
        <v>6</v>
      </c>
      <c r="C13" t="s">
        <v>14</v>
      </c>
      <c r="D13" s="6">
        <v>0.05</v>
      </c>
      <c r="E13">
        <v>2</v>
      </c>
      <c r="F13" s="6">
        <v>0.25</v>
      </c>
    </row>
    <row r="14" spans="1:6" x14ac:dyDescent="0.3">
      <c r="A14" t="s">
        <v>2</v>
      </c>
      <c r="B14" t="s">
        <v>9</v>
      </c>
      <c r="C14" t="s">
        <v>13</v>
      </c>
      <c r="D14" s="6">
        <v>0.05</v>
      </c>
      <c r="E14">
        <v>2</v>
      </c>
      <c r="F14" s="6">
        <v>0.28999999999999998</v>
      </c>
    </row>
    <row r="15" spans="1:6" x14ac:dyDescent="0.3">
      <c r="A15" t="s">
        <v>1</v>
      </c>
      <c r="B15" t="s">
        <v>11</v>
      </c>
      <c r="C15" t="s">
        <v>12</v>
      </c>
      <c r="D15" s="6">
        <v>0.02</v>
      </c>
      <c r="E15">
        <v>3</v>
      </c>
      <c r="F15" s="6">
        <v>0.24</v>
      </c>
    </row>
    <row r="16" spans="1:6" x14ac:dyDescent="0.3">
      <c r="A16" t="s">
        <v>0</v>
      </c>
      <c r="B16" t="s">
        <v>7</v>
      </c>
      <c r="C16" t="s">
        <v>12</v>
      </c>
      <c r="D16" s="6">
        <v>0.05</v>
      </c>
      <c r="E16">
        <v>1</v>
      </c>
      <c r="F16" s="6">
        <v>0.28000000000000003</v>
      </c>
    </row>
    <row r="17" spans="1:6" x14ac:dyDescent="0.3">
      <c r="A17" t="s">
        <v>2</v>
      </c>
      <c r="B17" t="s">
        <v>11</v>
      </c>
      <c r="C17" t="s">
        <v>13</v>
      </c>
      <c r="D17" s="6">
        <v>0.05</v>
      </c>
      <c r="E17">
        <v>1</v>
      </c>
      <c r="F17" s="6">
        <v>0.47</v>
      </c>
    </row>
    <row r="18" spans="1:6" x14ac:dyDescent="0.3">
      <c r="A18" t="s">
        <v>0</v>
      </c>
      <c r="B18" t="s">
        <v>9</v>
      </c>
      <c r="C18" t="s">
        <v>12</v>
      </c>
      <c r="D18" s="6">
        <v>0.03</v>
      </c>
      <c r="E18">
        <v>2</v>
      </c>
      <c r="F18" s="6">
        <v>0.33</v>
      </c>
    </row>
    <row r="19" spans="1:6" x14ac:dyDescent="0.3">
      <c r="A19" t="s">
        <v>0</v>
      </c>
      <c r="B19" t="s">
        <v>6</v>
      </c>
      <c r="C19" t="s">
        <v>14</v>
      </c>
      <c r="D19" s="6">
        <v>0.05</v>
      </c>
      <c r="E19">
        <v>3</v>
      </c>
      <c r="F19" s="6">
        <v>0.44</v>
      </c>
    </row>
    <row r="20" spans="1:6" x14ac:dyDescent="0.3">
      <c r="A20" t="s">
        <v>8</v>
      </c>
      <c r="B20" t="s">
        <v>9</v>
      </c>
      <c r="C20" t="s">
        <v>13</v>
      </c>
      <c r="D20" s="6">
        <v>0.04</v>
      </c>
      <c r="E20">
        <v>3</v>
      </c>
      <c r="F20" s="6">
        <v>0.39</v>
      </c>
    </row>
    <row r="21" spans="1:6" x14ac:dyDescent="0.3">
      <c r="A21" t="s">
        <v>2</v>
      </c>
      <c r="B21" t="s">
        <v>6</v>
      </c>
      <c r="C21" t="s">
        <v>12</v>
      </c>
      <c r="D21" s="6">
        <v>0.01</v>
      </c>
      <c r="E21">
        <v>2</v>
      </c>
      <c r="F21" s="6">
        <v>0.24</v>
      </c>
    </row>
    <row r="22" spans="1:6" x14ac:dyDescent="0.3">
      <c r="A22" t="s">
        <v>1</v>
      </c>
      <c r="B22" t="s">
        <v>10</v>
      </c>
      <c r="C22" t="s">
        <v>13</v>
      </c>
      <c r="D22" s="6">
        <v>0.02</v>
      </c>
      <c r="E22">
        <v>3</v>
      </c>
      <c r="F22" s="6">
        <v>0.22</v>
      </c>
    </row>
    <row r="23" spans="1:6" x14ac:dyDescent="0.3">
      <c r="A23" t="s">
        <v>8</v>
      </c>
      <c r="B23" t="s">
        <v>6</v>
      </c>
      <c r="C23" t="s">
        <v>13</v>
      </c>
      <c r="D23" s="6">
        <v>0.05</v>
      </c>
      <c r="E23">
        <v>3</v>
      </c>
      <c r="F23" s="6">
        <v>0.41</v>
      </c>
    </row>
    <row r="24" spans="1:6" x14ac:dyDescent="0.3">
      <c r="A24" t="s">
        <v>0</v>
      </c>
      <c r="B24" t="s">
        <v>10</v>
      </c>
      <c r="C24" t="s">
        <v>14</v>
      </c>
      <c r="D24" s="6">
        <v>0.01</v>
      </c>
      <c r="E24">
        <v>1</v>
      </c>
      <c r="F24" s="6">
        <v>0.28000000000000003</v>
      </c>
    </row>
    <row r="25" spans="1:6" x14ac:dyDescent="0.3">
      <c r="A25" t="s">
        <v>1</v>
      </c>
      <c r="B25" t="s">
        <v>6</v>
      </c>
      <c r="C25" t="s">
        <v>14</v>
      </c>
      <c r="D25" s="6">
        <v>0.02</v>
      </c>
      <c r="E25">
        <v>3</v>
      </c>
      <c r="F25" s="6">
        <v>0.46</v>
      </c>
    </row>
    <row r="26" spans="1:6" x14ac:dyDescent="0.3">
      <c r="A26" t="s">
        <v>2</v>
      </c>
      <c r="B26" t="s">
        <v>10</v>
      </c>
      <c r="C26" t="s">
        <v>12</v>
      </c>
      <c r="D26" s="6">
        <v>0.03</v>
      </c>
      <c r="E26">
        <v>1</v>
      </c>
      <c r="F26" s="6">
        <v>0.21</v>
      </c>
    </row>
    <row r="27" spans="1:6" x14ac:dyDescent="0.3">
      <c r="A27" t="s">
        <v>8</v>
      </c>
      <c r="B27" t="s">
        <v>6</v>
      </c>
      <c r="C27" t="s">
        <v>14</v>
      </c>
      <c r="D27" s="6">
        <v>0.05</v>
      </c>
      <c r="E27">
        <v>3</v>
      </c>
      <c r="F27" s="6">
        <v>0.39</v>
      </c>
    </row>
    <row r="28" spans="1:6" x14ac:dyDescent="0.3">
      <c r="A28" t="s">
        <v>1</v>
      </c>
      <c r="B28" t="s">
        <v>6</v>
      </c>
      <c r="C28" t="s">
        <v>14</v>
      </c>
      <c r="D28" s="6">
        <v>0.04</v>
      </c>
      <c r="E28">
        <v>2</v>
      </c>
      <c r="F28" s="6">
        <v>0.24</v>
      </c>
    </row>
    <row r="29" spans="1:6" x14ac:dyDescent="0.3">
      <c r="A29" t="s">
        <v>1</v>
      </c>
      <c r="B29" t="s">
        <v>7</v>
      </c>
      <c r="C29" t="s">
        <v>12</v>
      </c>
      <c r="D29" s="6">
        <v>0.02</v>
      </c>
      <c r="E29">
        <v>2</v>
      </c>
      <c r="F29" s="6">
        <v>0.27</v>
      </c>
    </row>
    <row r="30" spans="1:6" x14ac:dyDescent="0.3">
      <c r="A30" t="s">
        <v>2</v>
      </c>
      <c r="B30" t="s">
        <v>6</v>
      </c>
      <c r="C30" t="s">
        <v>12</v>
      </c>
      <c r="D30" s="6">
        <v>0.04</v>
      </c>
      <c r="E30">
        <v>2</v>
      </c>
      <c r="F30" s="6">
        <v>0.34</v>
      </c>
    </row>
    <row r="31" spans="1:6" x14ac:dyDescent="0.3">
      <c r="A31" t="s">
        <v>8</v>
      </c>
      <c r="B31" t="s">
        <v>9</v>
      </c>
      <c r="C31" t="s">
        <v>12</v>
      </c>
      <c r="D31" s="6">
        <v>0.05</v>
      </c>
      <c r="E31">
        <v>3</v>
      </c>
      <c r="F31" s="6">
        <v>0.6</v>
      </c>
    </row>
    <row r="32" spans="1:6" x14ac:dyDescent="0.3">
      <c r="A32" t="s">
        <v>1</v>
      </c>
      <c r="B32" t="s">
        <v>6</v>
      </c>
      <c r="C32" t="s">
        <v>13</v>
      </c>
      <c r="D32" s="6">
        <v>0.02</v>
      </c>
      <c r="E32">
        <v>1</v>
      </c>
      <c r="F32" s="6">
        <v>0.6</v>
      </c>
    </row>
    <row r="33" spans="1:6" x14ac:dyDescent="0.3">
      <c r="A33" t="s">
        <v>1</v>
      </c>
      <c r="B33" t="s">
        <v>10</v>
      </c>
      <c r="C33" t="s">
        <v>13</v>
      </c>
      <c r="D33" s="6">
        <v>0.05</v>
      </c>
      <c r="E33">
        <v>3</v>
      </c>
      <c r="F33" s="6">
        <v>0.6</v>
      </c>
    </row>
    <row r="34" spans="1:6" x14ac:dyDescent="0.3">
      <c r="A34" t="s">
        <v>2</v>
      </c>
      <c r="B34" t="s">
        <v>6</v>
      </c>
      <c r="C34" t="s">
        <v>12</v>
      </c>
      <c r="D34" s="6">
        <v>0.05</v>
      </c>
      <c r="E34">
        <v>2</v>
      </c>
      <c r="F34" s="6">
        <v>0.5</v>
      </c>
    </row>
    <row r="35" spans="1:6" x14ac:dyDescent="0.3">
      <c r="A35" t="s">
        <v>2</v>
      </c>
      <c r="B35" t="s">
        <v>7</v>
      </c>
      <c r="C35" t="s">
        <v>12</v>
      </c>
      <c r="D35" s="6">
        <v>0.04</v>
      </c>
      <c r="E35">
        <v>2</v>
      </c>
      <c r="F35" s="6">
        <v>0.65</v>
      </c>
    </row>
    <row r="36" spans="1:6" x14ac:dyDescent="0.3">
      <c r="A36" t="s">
        <v>1</v>
      </c>
      <c r="B36" t="s">
        <v>7</v>
      </c>
      <c r="C36" t="s">
        <v>12</v>
      </c>
      <c r="D36" s="6">
        <v>0.05</v>
      </c>
      <c r="E36">
        <v>1</v>
      </c>
      <c r="F36" s="6">
        <v>0.55000000000000004</v>
      </c>
    </row>
    <row r="37" spans="1:6" x14ac:dyDescent="0.3">
      <c r="A37" t="s">
        <v>8</v>
      </c>
      <c r="B37" t="s">
        <v>11</v>
      </c>
      <c r="C37" t="s">
        <v>13</v>
      </c>
      <c r="D37" s="6">
        <v>0.03</v>
      </c>
      <c r="E37">
        <v>2</v>
      </c>
      <c r="F37" s="6">
        <v>0.63</v>
      </c>
    </row>
    <row r="38" spans="1:6" x14ac:dyDescent="0.3">
      <c r="A38" t="s">
        <v>8</v>
      </c>
      <c r="B38" t="s">
        <v>6</v>
      </c>
      <c r="C38" t="s">
        <v>13</v>
      </c>
      <c r="D38" s="6">
        <v>0.03</v>
      </c>
      <c r="E38">
        <v>3</v>
      </c>
      <c r="F38" s="6">
        <v>0.51</v>
      </c>
    </row>
    <row r="39" spans="1:6" x14ac:dyDescent="0.3">
      <c r="A39" t="s">
        <v>2</v>
      </c>
      <c r="B39" t="s">
        <v>9</v>
      </c>
      <c r="C39" t="s">
        <v>12</v>
      </c>
      <c r="D39" s="6">
        <v>0.05</v>
      </c>
      <c r="E39">
        <v>2</v>
      </c>
      <c r="F39" s="6">
        <v>0.68</v>
      </c>
    </row>
    <row r="40" spans="1:6" x14ac:dyDescent="0.3">
      <c r="A40" t="s">
        <v>8</v>
      </c>
      <c r="B40" t="s">
        <v>9</v>
      </c>
      <c r="C40" t="s">
        <v>14</v>
      </c>
      <c r="D40" s="6">
        <v>0.01</v>
      </c>
      <c r="E40">
        <v>2</v>
      </c>
      <c r="F40" s="6">
        <v>0.62</v>
      </c>
    </row>
    <row r="41" spans="1:6" x14ac:dyDescent="0.3">
      <c r="A41" t="s">
        <v>0</v>
      </c>
      <c r="B41" t="s">
        <v>10</v>
      </c>
      <c r="C41" t="s">
        <v>14</v>
      </c>
      <c r="D41" s="6">
        <v>0.02</v>
      </c>
      <c r="E41">
        <v>3</v>
      </c>
      <c r="F41" s="6">
        <v>0.62</v>
      </c>
    </row>
    <row r="42" spans="1:6" x14ac:dyDescent="0.3">
      <c r="A42" t="s">
        <v>8</v>
      </c>
      <c r="B42" t="s">
        <v>7</v>
      </c>
      <c r="C42" t="s">
        <v>12</v>
      </c>
      <c r="D42" s="6">
        <v>0.02</v>
      </c>
      <c r="E42">
        <v>3</v>
      </c>
      <c r="F42" s="6">
        <v>0.65</v>
      </c>
    </row>
    <row r="43" spans="1:6" x14ac:dyDescent="0.3">
      <c r="A43" t="s">
        <v>8</v>
      </c>
      <c r="B43" t="s">
        <v>7</v>
      </c>
      <c r="C43" t="s">
        <v>13</v>
      </c>
      <c r="D43" s="6">
        <v>0.03</v>
      </c>
      <c r="E43">
        <v>3</v>
      </c>
      <c r="F43" s="6">
        <v>0.63</v>
      </c>
    </row>
    <row r="44" spans="1:6" x14ac:dyDescent="0.3">
      <c r="A44" t="s">
        <v>8</v>
      </c>
      <c r="B44" t="s">
        <v>7</v>
      </c>
      <c r="C44" t="s">
        <v>13</v>
      </c>
      <c r="D44" s="6">
        <v>0.02</v>
      </c>
      <c r="E44">
        <v>1</v>
      </c>
      <c r="F44" s="6">
        <v>0.55000000000000004</v>
      </c>
    </row>
    <row r="45" spans="1:6" x14ac:dyDescent="0.3">
      <c r="A45" t="s">
        <v>1</v>
      </c>
      <c r="B45" t="s">
        <v>9</v>
      </c>
      <c r="C45" t="s">
        <v>13</v>
      </c>
      <c r="D45" s="6">
        <v>0.04</v>
      </c>
      <c r="E45">
        <v>2</v>
      </c>
      <c r="F45" s="6">
        <v>0.6</v>
      </c>
    </row>
    <row r="46" spans="1:6" x14ac:dyDescent="0.3">
      <c r="A46" t="s">
        <v>2</v>
      </c>
      <c r="B46" t="s">
        <v>11</v>
      </c>
      <c r="C46" t="s">
        <v>12</v>
      </c>
      <c r="D46" s="6">
        <v>0.01</v>
      </c>
      <c r="E46">
        <v>1</v>
      </c>
      <c r="F46" s="6">
        <v>0.68</v>
      </c>
    </row>
    <row r="47" spans="1:6" x14ac:dyDescent="0.3">
      <c r="A47" t="s">
        <v>2</v>
      </c>
      <c r="B47" t="s">
        <v>10</v>
      </c>
      <c r="C47" t="s">
        <v>12</v>
      </c>
      <c r="D47" s="6">
        <v>0.02</v>
      </c>
      <c r="E47">
        <v>1</v>
      </c>
      <c r="F47" s="6">
        <v>0.63</v>
      </c>
    </row>
    <row r="48" spans="1:6" x14ac:dyDescent="0.3">
      <c r="A48" t="s">
        <v>0</v>
      </c>
      <c r="B48" t="s">
        <v>9</v>
      </c>
      <c r="C48" t="s">
        <v>14</v>
      </c>
      <c r="D48" s="6">
        <v>0.04</v>
      </c>
      <c r="E48">
        <v>3</v>
      </c>
      <c r="F48" s="6">
        <v>0.7</v>
      </c>
    </row>
    <row r="49" spans="1:6" x14ac:dyDescent="0.3">
      <c r="A49" t="s">
        <v>0</v>
      </c>
      <c r="B49" t="s">
        <v>7</v>
      </c>
      <c r="C49" t="s">
        <v>13</v>
      </c>
      <c r="D49" s="6">
        <v>0.03</v>
      </c>
      <c r="E49">
        <v>2</v>
      </c>
      <c r="F49" s="6">
        <v>0.64</v>
      </c>
    </row>
    <row r="50" spans="1:6" x14ac:dyDescent="0.3">
      <c r="A50" t="s">
        <v>8</v>
      </c>
      <c r="B50" t="s">
        <v>6</v>
      </c>
      <c r="C50" t="s">
        <v>14</v>
      </c>
      <c r="D50" s="6">
        <v>0.01</v>
      </c>
      <c r="E50">
        <v>1</v>
      </c>
      <c r="F50" s="6">
        <v>0.65</v>
      </c>
    </row>
    <row r="51" spans="1:6" x14ac:dyDescent="0.3">
      <c r="A51" t="s">
        <v>8</v>
      </c>
      <c r="B51" t="s">
        <v>7</v>
      </c>
      <c r="C51" t="s">
        <v>13</v>
      </c>
      <c r="D51" s="6">
        <v>0.03</v>
      </c>
      <c r="E51">
        <v>1</v>
      </c>
      <c r="F51" s="6">
        <v>0.62</v>
      </c>
    </row>
    <row r="52" spans="1:6" x14ac:dyDescent="0.3">
      <c r="A52" t="s">
        <v>2</v>
      </c>
      <c r="B52" t="s">
        <v>10</v>
      </c>
      <c r="C52" t="s">
        <v>13</v>
      </c>
      <c r="D52" s="6">
        <v>0.03</v>
      </c>
      <c r="E52">
        <v>3</v>
      </c>
      <c r="F52" s="6">
        <v>0.54</v>
      </c>
    </row>
    <row r="53" spans="1:6" x14ac:dyDescent="0.3">
      <c r="A53" t="s">
        <v>0</v>
      </c>
      <c r="B53" t="s">
        <v>9</v>
      </c>
      <c r="C53" t="s">
        <v>12</v>
      </c>
      <c r="D53" s="6">
        <v>0.01</v>
      </c>
      <c r="E53">
        <v>3</v>
      </c>
      <c r="F53" s="6">
        <v>0.54</v>
      </c>
    </row>
    <row r="54" spans="1:6" x14ac:dyDescent="0.3">
      <c r="A54" t="s">
        <v>0</v>
      </c>
      <c r="B54" t="s">
        <v>6</v>
      </c>
      <c r="C54" t="s">
        <v>12</v>
      </c>
      <c r="D54" s="6">
        <v>0.03</v>
      </c>
      <c r="E54">
        <v>2</v>
      </c>
      <c r="F54" s="6">
        <v>0.57999999999999996</v>
      </c>
    </row>
    <row r="55" spans="1:6" x14ac:dyDescent="0.3">
      <c r="A55" t="s">
        <v>2</v>
      </c>
      <c r="B55" t="s">
        <v>9</v>
      </c>
      <c r="C55" t="s">
        <v>12</v>
      </c>
      <c r="D55" s="6">
        <v>0.04</v>
      </c>
      <c r="E55">
        <v>2</v>
      </c>
      <c r="F55" s="6">
        <v>0.56000000000000005</v>
      </c>
    </row>
    <row r="56" spans="1:6" x14ac:dyDescent="0.3">
      <c r="A56" t="s">
        <v>2</v>
      </c>
      <c r="B56" t="s">
        <v>7</v>
      </c>
      <c r="C56" t="s">
        <v>13</v>
      </c>
      <c r="D56" s="6">
        <v>0.01</v>
      </c>
      <c r="E56">
        <v>1</v>
      </c>
      <c r="F56" s="6">
        <v>0.64</v>
      </c>
    </row>
    <row r="57" spans="1:6" x14ac:dyDescent="0.3">
      <c r="A57" t="s">
        <v>2</v>
      </c>
      <c r="B57" t="s">
        <v>7</v>
      </c>
      <c r="C57" t="s">
        <v>14</v>
      </c>
      <c r="D57" s="6">
        <v>0.05</v>
      </c>
      <c r="E57">
        <v>1</v>
      </c>
      <c r="F57" s="6">
        <v>0.52</v>
      </c>
    </row>
    <row r="58" spans="1:6" x14ac:dyDescent="0.3">
      <c r="A58" t="s">
        <v>0</v>
      </c>
      <c r="B58" t="s">
        <v>11</v>
      </c>
      <c r="C58" t="s">
        <v>14</v>
      </c>
      <c r="D58" s="6">
        <v>0.02</v>
      </c>
      <c r="E58">
        <v>3</v>
      </c>
      <c r="F58" s="6">
        <v>0.51</v>
      </c>
    </row>
    <row r="59" spans="1:6" x14ac:dyDescent="0.3">
      <c r="A59" t="s">
        <v>0</v>
      </c>
      <c r="B59" t="s">
        <v>7</v>
      </c>
      <c r="C59" t="s">
        <v>13</v>
      </c>
      <c r="D59" s="6">
        <v>0.01</v>
      </c>
      <c r="E59">
        <v>3</v>
      </c>
      <c r="F59" s="6">
        <v>0.53</v>
      </c>
    </row>
    <row r="60" spans="1:6" x14ac:dyDescent="0.3">
      <c r="A60" t="s">
        <v>2</v>
      </c>
      <c r="B60" t="s">
        <v>9</v>
      </c>
      <c r="C60" t="s">
        <v>14</v>
      </c>
      <c r="D60" s="6">
        <v>0.02</v>
      </c>
      <c r="E60">
        <v>2</v>
      </c>
      <c r="F60" s="6">
        <v>0.56000000000000005</v>
      </c>
    </row>
    <row r="61" spans="1:6" x14ac:dyDescent="0.3">
      <c r="A61" t="s">
        <v>8</v>
      </c>
      <c r="B61" t="s">
        <v>6</v>
      </c>
      <c r="C61" t="s">
        <v>12</v>
      </c>
      <c r="D61" s="6">
        <v>0.04</v>
      </c>
      <c r="E61">
        <v>2</v>
      </c>
      <c r="F61" s="6">
        <v>0.65</v>
      </c>
    </row>
    <row r="62" spans="1:6" x14ac:dyDescent="0.3">
      <c r="A62" t="s">
        <v>1</v>
      </c>
      <c r="B62" t="s">
        <v>10</v>
      </c>
      <c r="C62" t="s">
        <v>12</v>
      </c>
      <c r="D62" s="6">
        <v>0.02</v>
      </c>
      <c r="E62">
        <v>1</v>
      </c>
      <c r="F62" s="6">
        <v>0.63</v>
      </c>
    </row>
    <row r="63" spans="1:6" x14ac:dyDescent="0.3">
      <c r="A63" t="s">
        <v>0</v>
      </c>
      <c r="B63" t="s">
        <v>11</v>
      </c>
      <c r="C63" t="s">
        <v>13</v>
      </c>
      <c r="D63" s="6">
        <v>0.04</v>
      </c>
      <c r="E63">
        <v>2</v>
      </c>
      <c r="F63" s="6">
        <v>0.55000000000000004</v>
      </c>
    </row>
    <row r="64" spans="1:6" x14ac:dyDescent="0.3">
      <c r="A64" t="s">
        <v>2</v>
      </c>
      <c r="B64" t="s">
        <v>6</v>
      </c>
      <c r="C64" t="s">
        <v>12</v>
      </c>
      <c r="D64" s="6">
        <v>0.01</v>
      </c>
      <c r="E64">
        <v>2</v>
      </c>
      <c r="F64" s="6">
        <v>0.67</v>
      </c>
    </row>
    <row r="65" spans="1:6" x14ac:dyDescent="0.3">
      <c r="A65" t="s">
        <v>0</v>
      </c>
      <c r="B65" t="s">
        <v>10</v>
      </c>
      <c r="C65" t="s">
        <v>12</v>
      </c>
      <c r="D65" s="6">
        <v>0.05</v>
      </c>
      <c r="E65">
        <v>1</v>
      </c>
      <c r="F65" s="6">
        <v>0.56999999999999995</v>
      </c>
    </row>
    <row r="66" spans="1:6" x14ac:dyDescent="0.3">
      <c r="A66" t="s">
        <v>2</v>
      </c>
      <c r="B66" t="s">
        <v>7</v>
      </c>
      <c r="C66" t="s">
        <v>12</v>
      </c>
      <c r="D66" s="6">
        <v>0.03</v>
      </c>
      <c r="E66">
        <v>1</v>
      </c>
      <c r="F66" s="6">
        <v>0.55000000000000004</v>
      </c>
    </row>
    <row r="67" spans="1:6" x14ac:dyDescent="0.3">
      <c r="A67" t="s">
        <v>1</v>
      </c>
      <c r="B67" t="s">
        <v>9</v>
      </c>
      <c r="C67" t="s">
        <v>14</v>
      </c>
      <c r="D67" s="6">
        <v>0.03</v>
      </c>
      <c r="E67">
        <v>1</v>
      </c>
      <c r="F67" s="6">
        <v>0.65</v>
      </c>
    </row>
    <row r="68" spans="1:6" x14ac:dyDescent="0.3">
      <c r="A68" t="s">
        <v>1</v>
      </c>
      <c r="B68" t="s">
        <v>11</v>
      </c>
      <c r="C68" t="s">
        <v>13</v>
      </c>
      <c r="D68" s="6">
        <v>0.01</v>
      </c>
      <c r="E68">
        <v>3</v>
      </c>
      <c r="F68" s="6">
        <v>0.69</v>
      </c>
    </row>
    <row r="69" spans="1:6" x14ac:dyDescent="0.3">
      <c r="A69" t="s">
        <v>0</v>
      </c>
      <c r="B69" t="s">
        <v>7</v>
      </c>
      <c r="C69" t="s">
        <v>14</v>
      </c>
      <c r="D69" s="6">
        <v>0.02</v>
      </c>
      <c r="E69">
        <v>3</v>
      </c>
      <c r="F69" s="6">
        <v>0.62</v>
      </c>
    </row>
    <row r="70" spans="1:6" x14ac:dyDescent="0.3">
      <c r="A70" t="s">
        <v>8</v>
      </c>
      <c r="B70" t="s">
        <v>11</v>
      </c>
      <c r="C70" t="s">
        <v>12</v>
      </c>
      <c r="D70" s="6">
        <v>0.05</v>
      </c>
      <c r="E70">
        <v>1</v>
      </c>
      <c r="F70" s="6">
        <v>0.63</v>
      </c>
    </row>
    <row r="71" spans="1:6" x14ac:dyDescent="0.3">
      <c r="A71" t="s">
        <v>2</v>
      </c>
      <c r="B71" t="s">
        <v>11</v>
      </c>
      <c r="C71" t="s">
        <v>12</v>
      </c>
      <c r="D71" s="6">
        <v>0.02</v>
      </c>
      <c r="E71">
        <v>1</v>
      </c>
      <c r="F71" s="6">
        <v>0.63</v>
      </c>
    </row>
    <row r="72" spans="1:6" x14ac:dyDescent="0.3">
      <c r="A72" t="s">
        <v>2</v>
      </c>
      <c r="B72" t="s">
        <v>6</v>
      </c>
      <c r="C72" t="s">
        <v>14</v>
      </c>
      <c r="D72" s="6">
        <v>0.02</v>
      </c>
      <c r="E72">
        <v>3</v>
      </c>
      <c r="F72" s="6">
        <v>0.62</v>
      </c>
    </row>
    <row r="73" spans="1:6" x14ac:dyDescent="0.3">
      <c r="A73" t="s">
        <v>0</v>
      </c>
      <c r="B73" t="s">
        <v>7</v>
      </c>
      <c r="C73" t="s">
        <v>14</v>
      </c>
      <c r="D73" s="6">
        <v>0.05</v>
      </c>
      <c r="E73">
        <v>3</v>
      </c>
      <c r="F73" s="6">
        <v>0.65</v>
      </c>
    </row>
    <row r="74" spans="1:6" x14ac:dyDescent="0.3">
      <c r="A74" t="s">
        <v>1</v>
      </c>
      <c r="B74" t="s">
        <v>11</v>
      </c>
      <c r="C74" t="s">
        <v>12</v>
      </c>
      <c r="D74" s="6">
        <v>0.01</v>
      </c>
      <c r="E74">
        <v>3</v>
      </c>
      <c r="F74" s="6">
        <v>0.59</v>
      </c>
    </row>
    <row r="75" spans="1:6" x14ac:dyDescent="0.3">
      <c r="A75" t="s">
        <v>8</v>
      </c>
      <c r="B75" t="s">
        <v>6</v>
      </c>
      <c r="C75" t="s">
        <v>13</v>
      </c>
      <c r="D75" s="6">
        <v>0.03</v>
      </c>
      <c r="E75">
        <v>2</v>
      </c>
      <c r="F75" s="6">
        <v>0.56999999999999995</v>
      </c>
    </row>
    <row r="76" spans="1:6" x14ac:dyDescent="0.3">
      <c r="A76" t="s">
        <v>2</v>
      </c>
      <c r="B76" t="s">
        <v>10</v>
      </c>
      <c r="C76" t="s">
        <v>14</v>
      </c>
      <c r="D76" s="6">
        <v>0.05</v>
      </c>
      <c r="E76">
        <v>1</v>
      </c>
      <c r="F76" s="6">
        <v>0.5</v>
      </c>
    </row>
    <row r="77" spans="1:6" x14ac:dyDescent="0.3">
      <c r="A77" t="s">
        <v>8</v>
      </c>
      <c r="B77" t="s">
        <v>6</v>
      </c>
      <c r="C77" t="s">
        <v>12</v>
      </c>
      <c r="D77" s="6">
        <v>0.03</v>
      </c>
      <c r="E77">
        <v>2</v>
      </c>
      <c r="F77" s="6">
        <v>0.52</v>
      </c>
    </row>
    <row r="78" spans="1:6" x14ac:dyDescent="0.3">
      <c r="A78" t="s">
        <v>8</v>
      </c>
      <c r="B78" t="s">
        <v>11</v>
      </c>
      <c r="C78" t="s">
        <v>13</v>
      </c>
      <c r="D78" s="6">
        <v>0.01</v>
      </c>
      <c r="E78">
        <v>2</v>
      </c>
      <c r="F78" s="6">
        <v>0.57999999999999996</v>
      </c>
    </row>
    <row r="79" spans="1:6" x14ac:dyDescent="0.3">
      <c r="A79" t="s">
        <v>8</v>
      </c>
      <c r="B79" t="s">
        <v>11</v>
      </c>
      <c r="C79" t="s">
        <v>14</v>
      </c>
      <c r="D79" s="6">
        <v>0.01</v>
      </c>
      <c r="E79">
        <v>3</v>
      </c>
      <c r="F79" s="6">
        <v>0.62</v>
      </c>
    </row>
    <row r="80" spans="1:6" x14ac:dyDescent="0.3">
      <c r="A80" t="s">
        <v>0</v>
      </c>
      <c r="B80" t="s">
        <v>6</v>
      </c>
      <c r="C80" t="s">
        <v>14</v>
      </c>
      <c r="D80" s="6">
        <v>0.05</v>
      </c>
      <c r="E80">
        <v>2</v>
      </c>
      <c r="F80" s="6">
        <v>0.56999999999999995</v>
      </c>
    </row>
    <row r="81" spans="1:6" x14ac:dyDescent="0.3">
      <c r="A81" t="s">
        <v>8</v>
      </c>
      <c r="B81" t="s">
        <v>6</v>
      </c>
      <c r="C81" t="s">
        <v>13</v>
      </c>
      <c r="D81" s="6">
        <v>0.05</v>
      </c>
      <c r="E81">
        <v>1</v>
      </c>
      <c r="F81" s="6">
        <v>0.56999999999999995</v>
      </c>
    </row>
    <row r="82" spans="1:6" x14ac:dyDescent="0.3">
      <c r="A82" t="s">
        <v>0</v>
      </c>
      <c r="B82" t="s">
        <v>11</v>
      </c>
      <c r="C82" t="s">
        <v>14</v>
      </c>
      <c r="D82" s="6">
        <v>0.02</v>
      </c>
      <c r="E82">
        <v>1</v>
      </c>
      <c r="F82" s="6">
        <v>0.57999999999999996</v>
      </c>
    </row>
    <row r="83" spans="1:6" x14ac:dyDescent="0.3">
      <c r="A83" t="s">
        <v>2</v>
      </c>
      <c r="B83" t="s">
        <v>7</v>
      </c>
      <c r="C83" t="s">
        <v>12</v>
      </c>
      <c r="D83" s="6">
        <v>0.05</v>
      </c>
      <c r="E83">
        <v>3</v>
      </c>
      <c r="F83" s="6">
        <v>0.52</v>
      </c>
    </row>
    <row r="84" spans="1:6" x14ac:dyDescent="0.3">
      <c r="A84" t="s">
        <v>2</v>
      </c>
      <c r="B84" t="s">
        <v>11</v>
      </c>
      <c r="C84" t="s">
        <v>12</v>
      </c>
      <c r="D84" s="6">
        <v>0.05</v>
      </c>
      <c r="E84">
        <v>1</v>
      </c>
      <c r="F84" s="6">
        <v>0.61</v>
      </c>
    </row>
    <row r="85" spans="1:6" x14ac:dyDescent="0.3">
      <c r="A85" t="s">
        <v>2</v>
      </c>
      <c r="B85" t="s">
        <v>6</v>
      </c>
      <c r="C85" t="s">
        <v>14</v>
      </c>
      <c r="D85" s="6">
        <v>0.04</v>
      </c>
      <c r="E85">
        <v>1</v>
      </c>
      <c r="F85" s="6">
        <v>0.66</v>
      </c>
    </row>
    <row r="86" spans="1:6" x14ac:dyDescent="0.3">
      <c r="A86" t="s">
        <v>0</v>
      </c>
      <c r="B86" t="s">
        <v>10</v>
      </c>
      <c r="C86" t="s">
        <v>14</v>
      </c>
      <c r="D86" s="6">
        <v>0.04</v>
      </c>
      <c r="E86">
        <v>2</v>
      </c>
      <c r="F86" s="6">
        <v>0.63</v>
      </c>
    </row>
    <row r="87" spans="1:6" x14ac:dyDescent="0.3">
      <c r="A87" t="s">
        <v>2</v>
      </c>
      <c r="B87" t="s">
        <v>6</v>
      </c>
      <c r="C87" t="s">
        <v>14</v>
      </c>
      <c r="D87" s="6">
        <v>0.02</v>
      </c>
      <c r="E87">
        <v>3</v>
      </c>
      <c r="F87" s="6">
        <v>0.62</v>
      </c>
    </row>
    <row r="88" spans="1:6" x14ac:dyDescent="0.3">
      <c r="A88" t="s">
        <v>2</v>
      </c>
      <c r="B88" t="s">
        <v>6</v>
      </c>
      <c r="C88" t="s">
        <v>14</v>
      </c>
      <c r="D88" s="6">
        <v>0.02</v>
      </c>
      <c r="E88">
        <v>1</v>
      </c>
      <c r="F88" s="6">
        <v>0.62</v>
      </c>
    </row>
    <row r="89" spans="1:6" x14ac:dyDescent="0.3">
      <c r="A89" t="s">
        <v>2</v>
      </c>
      <c r="B89" t="s">
        <v>7</v>
      </c>
      <c r="C89" t="s">
        <v>12</v>
      </c>
      <c r="D89" s="6">
        <v>0.02</v>
      </c>
      <c r="E89">
        <v>1</v>
      </c>
      <c r="F89" s="6">
        <v>0.5</v>
      </c>
    </row>
    <row r="90" spans="1:6" x14ac:dyDescent="0.3">
      <c r="A90" t="s">
        <v>1</v>
      </c>
      <c r="B90" t="s">
        <v>9</v>
      </c>
      <c r="C90" t="s">
        <v>12</v>
      </c>
      <c r="D90" s="6">
        <v>0.03</v>
      </c>
      <c r="E90">
        <v>3</v>
      </c>
      <c r="F90" s="6">
        <v>0.56999999999999995</v>
      </c>
    </row>
    <row r="91" spans="1:6" x14ac:dyDescent="0.3">
      <c r="A91" t="s">
        <v>8</v>
      </c>
      <c r="B91" t="s">
        <v>7</v>
      </c>
      <c r="C91" t="s">
        <v>13</v>
      </c>
      <c r="D91" s="6">
        <v>0.03</v>
      </c>
      <c r="E91">
        <v>3</v>
      </c>
      <c r="F91" s="6">
        <v>0.56999999999999995</v>
      </c>
    </row>
    <row r="92" spans="1:6" x14ac:dyDescent="0.3">
      <c r="A92" t="s">
        <v>8</v>
      </c>
      <c r="B92" t="s">
        <v>7</v>
      </c>
      <c r="C92" t="s">
        <v>13</v>
      </c>
      <c r="D92" s="6">
        <v>0.03</v>
      </c>
      <c r="E92">
        <v>3</v>
      </c>
      <c r="F92" s="6">
        <v>0.62</v>
      </c>
    </row>
    <row r="93" spans="1:6" x14ac:dyDescent="0.3">
      <c r="A93" t="s">
        <v>2</v>
      </c>
      <c r="B93" t="s">
        <v>9</v>
      </c>
      <c r="C93" t="s">
        <v>12</v>
      </c>
      <c r="D93" s="6">
        <v>0.03</v>
      </c>
      <c r="E93">
        <v>2</v>
      </c>
      <c r="F93" s="6">
        <v>0.68</v>
      </c>
    </row>
    <row r="94" spans="1:6" x14ac:dyDescent="0.3">
      <c r="A94" t="s">
        <v>2</v>
      </c>
      <c r="B94" t="s">
        <v>10</v>
      </c>
      <c r="C94" t="s">
        <v>12</v>
      </c>
      <c r="D94" s="6">
        <v>0.03</v>
      </c>
      <c r="E94">
        <v>3</v>
      </c>
      <c r="F94" s="6">
        <v>0.6</v>
      </c>
    </row>
    <row r="95" spans="1:6" x14ac:dyDescent="0.3">
      <c r="A95" t="s">
        <v>1</v>
      </c>
      <c r="B95" t="s">
        <v>6</v>
      </c>
      <c r="C95" t="s">
        <v>14</v>
      </c>
      <c r="D95" s="6">
        <v>0.05</v>
      </c>
      <c r="E95">
        <v>2</v>
      </c>
      <c r="F95" s="6">
        <v>0.51</v>
      </c>
    </row>
    <row r="96" spans="1:6" x14ac:dyDescent="0.3">
      <c r="A96" t="s">
        <v>2</v>
      </c>
      <c r="B96" t="s">
        <v>6</v>
      </c>
      <c r="C96" t="s">
        <v>12</v>
      </c>
      <c r="D96" s="6">
        <v>0.04</v>
      </c>
      <c r="E96">
        <v>2</v>
      </c>
      <c r="F96" s="6">
        <v>0.63</v>
      </c>
    </row>
    <row r="97" spans="1:6" x14ac:dyDescent="0.3">
      <c r="A97" t="s">
        <v>1</v>
      </c>
      <c r="B97" t="s">
        <v>6</v>
      </c>
      <c r="C97" t="s">
        <v>14</v>
      </c>
      <c r="D97" s="6">
        <v>0.01</v>
      </c>
      <c r="E97">
        <v>3</v>
      </c>
      <c r="F97" s="6">
        <v>0.54</v>
      </c>
    </row>
    <row r="98" spans="1:6" x14ac:dyDescent="0.3">
      <c r="A98" t="s">
        <v>0</v>
      </c>
      <c r="B98" t="s">
        <v>9</v>
      </c>
      <c r="C98" t="s">
        <v>14</v>
      </c>
      <c r="D98" s="6">
        <v>0.01</v>
      </c>
      <c r="E98">
        <v>2</v>
      </c>
      <c r="F98" s="6">
        <v>0.56000000000000005</v>
      </c>
    </row>
    <row r="99" spans="1:6" x14ac:dyDescent="0.3">
      <c r="A99" t="s">
        <v>8</v>
      </c>
      <c r="B99" t="s">
        <v>7</v>
      </c>
      <c r="C99" t="s">
        <v>12</v>
      </c>
      <c r="D99" s="6">
        <v>0.03</v>
      </c>
      <c r="E99">
        <v>3</v>
      </c>
      <c r="F99" s="6">
        <v>0.5</v>
      </c>
    </row>
    <row r="100" spans="1:6" x14ac:dyDescent="0.3">
      <c r="A100" t="s">
        <v>1</v>
      </c>
      <c r="B100" t="s">
        <v>6</v>
      </c>
      <c r="C100" t="s">
        <v>12</v>
      </c>
      <c r="D100" s="6">
        <v>0.04</v>
      </c>
      <c r="E100">
        <v>2</v>
      </c>
      <c r="F100" s="6">
        <v>0.59</v>
      </c>
    </row>
    <row r="101" spans="1:6" x14ac:dyDescent="0.3">
      <c r="A101" t="s">
        <v>1</v>
      </c>
      <c r="B101" t="s">
        <v>7</v>
      </c>
      <c r="C101" t="s">
        <v>12</v>
      </c>
      <c r="D101" s="6">
        <v>0.04</v>
      </c>
      <c r="E101">
        <v>1</v>
      </c>
      <c r="F101" s="6">
        <v>0.66</v>
      </c>
    </row>
    <row r="102" spans="1:6" x14ac:dyDescent="0.3">
      <c r="A102" t="s">
        <v>1</v>
      </c>
      <c r="B102" t="s">
        <v>10</v>
      </c>
      <c r="C102" t="s">
        <v>12</v>
      </c>
      <c r="D102" s="6">
        <v>0.05</v>
      </c>
      <c r="E102">
        <v>2</v>
      </c>
      <c r="F102" s="6">
        <v>0.7</v>
      </c>
    </row>
    <row r="103" spans="1:6" x14ac:dyDescent="0.3">
      <c r="A103" t="s">
        <v>8</v>
      </c>
      <c r="B103" t="s">
        <v>6</v>
      </c>
      <c r="C103" t="s">
        <v>12</v>
      </c>
      <c r="D103" s="6">
        <v>0.05</v>
      </c>
      <c r="E103">
        <v>2</v>
      </c>
      <c r="F103" s="6">
        <v>0.59</v>
      </c>
    </row>
    <row r="104" spans="1:6" x14ac:dyDescent="0.3">
      <c r="A104" t="s">
        <v>8</v>
      </c>
      <c r="B104" t="s">
        <v>10</v>
      </c>
      <c r="C104" t="s">
        <v>14</v>
      </c>
      <c r="D104" s="6">
        <v>0.02</v>
      </c>
      <c r="E104">
        <v>1</v>
      </c>
      <c r="F104" s="6">
        <v>0.63</v>
      </c>
    </row>
    <row r="105" spans="1:6" x14ac:dyDescent="0.3">
      <c r="A105" t="s">
        <v>8</v>
      </c>
      <c r="B105" t="s">
        <v>9</v>
      </c>
      <c r="C105" t="s">
        <v>14</v>
      </c>
      <c r="D105" s="6">
        <v>0.04</v>
      </c>
      <c r="E105">
        <v>2</v>
      </c>
      <c r="F105" s="6">
        <v>0.61</v>
      </c>
    </row>
    <row r="106" spans="1:6" x14ac:dyDescent="0.3">
      <c r="A106" t="s">
        <v>1</v>
      </c>
      <c r="B106" t="s">
        <v>6</v>
      </c>
      <c r="C106" t="s">
        <v>14</v>
      </c>
      <c r="D106" s="6">
        <v>0.05</v>
      </c>
      <c r="E106">
        <v>1</v>
      </c>
      <c r="F106" s="6">
        <v>0.59</v>
      </c>
    </row>
    <row r="107" spans="1:6" x14ac:dyDescent="0.3">
      <c r="A107" t="s">
        <v>0</v>
      </c>
      <c r="B107" t="s">
        <v>11</v>
      </c>
      <c r="C107" t="s">
        <v>12</v>
      </c>
      <c r="D107" s="6">
        <v>0.03</v>
      </c>
      <c r="E107">
        <v>3</v>
      </c>
      <c r="F107" s="6">
        <v>0.65</v>
      </c>
    </row>
    <row r="108" spans="1:6" x14ac:dyDescent="0.3">
      <c r="A108" t="s">
        <v>1</v>
      </c>
      <c r="B108" t="s">
        <v>9</v>
      </c>
      <c r="C108" t="s">
        <v>14</v>
      </c>
      <c r="D108" s="6">
        <v>0.02</v>
      </c>
      <c r="E108">
        <v>1</v>
      </c>
      <c r="F108" s="6">
        <v>0.67</v>
      </c>
    </row>
    <row r="109" spans="1:6" x14ac:dyDescent="0.3">
      <c r="A109" t="s">
        <v>1</v>
      </c>
      <c r="B109" t="s">
        <v>7</v>
      </c>
      <c r="C109" t="s">
        <v>14</v>
      </c>
      <c r="D109" s="6">
        <v>0.03</v>
      </c>
      <c r="E109">
        <v>3</v>
      </c>
      <c r="F109" s="6">
        <v>0.62</v>
      </c>
    </row>
    <row r="110" spans="1:6" x14ac:dyDescent="0.3">
      <c r="A110" t="s">
        <v>0</v>
      </c>
      <c r="B110" t="s">
        <v>7</v>
      </c>
      <c r="C110" t="s">
        <v>12</v>
      </c>
      <c r="D110" s="6">
        <v>0.02</v>
      </c>
      <c r="E110">
        <v>2</v>
      </c>
      <c r="F110" s="6">
        <v>0.56999999999999995</v>
      </c>
    </row>
    <row r="111" spans="1:6" x14ac:dyDescent="0.3">
      <c r="A111" t="s">
        <v>8</v>
      </c>
      <c r="B111" t="s">
        <v>11</v>
      </c>
      <c r="C111" t="s">
        <v>12</v>
      </c>
      <c r="D111" s="6">
        <v>0.04</v>
      </c>
      <c r="E111">
        <v>2</v>
      </c>
      <c r="F111" s="6">
        <v>0.51</v>
      </c>
    </row>
    <row r="112" spans="1:6" x14ac:dyDescent="0.3">
      <c r="A112" t="s">
        <v>1</v>
      </c>
      <c r="B112" t="s">
        <v>11</v>
      </c>
      <c r="C112" t="s">
        <v>14</v>
      </c>
      <c r="D112" s="6">
        <v>0.05</v>
      </c>
      <c r="E112">
        <v>3</v>
      </c>
      <c r="F112" s="6">
        <v>0.6</v>
      </c>
    </row>
    <row r="113" spans="1:6" x14ac:dyDescent="0.3">
      <c r="A113" t="s">
        <v>8</v>
      </c>
      <c r="B113" t="s">
        <v>7</v>
      </c>
      <c r="C113" t="s">
        <v>14</v>
      </c>
      <c r="D113" s="6">
        <v>0.04</v>
      </c>
      <c r="E113">
        <v>3</v>
      </c>
      <c r="F113" s="6">
        <v>0.7</v>
      </c>
    </row>
    <row r="114" spans="1:6" x14ac:dyDescent="0.3">
      <c r="A114" t="s">
        <v>2</v>
      </c>
      <c r="B114" t="s">
        <v>7</v>
      </c>
      <c r="C114" t="s">
        <v>13</v>
      </c>
      <c r="D114" s="6">
        <v>0.03</v>
      </c>
      <c r="E114">
        <v>3</v>
      </c>
      <c r="F114" s="6">
        <v>0.69</v>
      </c>
    </row>
    <row r="115" spans="1:6" x14ac:dyDescent="0.3">
      <c r="A115" t="s">
        <v>8</v>
      </c>
      <c r="B115" t="s">
        <v>7</v>
      </c>
      <c r="C115" t="s">
        <v>14</v>
      </c>
      <c r="D115" s="6">
        <v>0.01</v>
      </c>
      <c r="E115">
        <v>2</v>
      </c>
      <c r="F115" s="6">
        <v>0.64</v>
      </c>
    </row>
    <row r="116" spans="1:6" x14ac:dyDescent="0.3">
      <c r="A116" t="s">
        <v>1</v>
      </c>
      <c r="B116" t="s">
        <v>11</v>
      </c>
      <c r="C116" t="s">
        <v>12</v>
      </c>
      <c r="D116" s="6">
        <v>0.04</v>
      </c>
      <c r="E116">
        <v>2</v>
      </c>
      <c r="F116" s="6">
        <v>0.5</v>
      </c>
    </row>
    <row r="117" spans="1:6" x14ac:dyDescent="0.3">
      <c r="A117" t="s">
        <v>1</v>
      </c>
      <c r="B117" t="s">
        <v>7</v>
      </c>
      <c r="C117" t="s">
        <v>13</v>
      </c>
      <c r="D117" s="6">
        <v>0.01</v>
      </c>
      <c r="E117">
        <v>2</v>
      </c>
      <c r="F117" s="6">
        <v>0.6</v>
      </c>
    </row>
    <row r="118" spans="1:6" x14ac:dyDescent="0.3">
      <c r="A118" t="s">
        <v>1</v>
      </c>
      <c r="B118" t="s">
        <v>11</v>
      </c>
      <c r="C118" t="s">
        <v>12</v>
      </c>
      <c r="D118" s="6">
        <v>0.03</v>
      </c>
      <c r="E118">
        <v>2</v>
      </c>
      <c r="F118" s="6">
        <v>0.57999999999999996</v>
      </c>
    </row>
    <row r="119" spans="1:6" x14ac:dyDescent="0.3">
      <c r="A119" t="s">
        <v>2</v>
      </c>
      <c r="B119" t="s">
        <v>10</v>
      </c>
      <c r="C119" t="s">
        <v>13</v>
      </c>
      <c r="D119" s="6">
        <v>0.04</v>
      </c>
      <c r="E119">
        <v>2</v>
      </c>
      <c r="F119" s="6">
        <v>0.56999999999999995</v>
      </c>
    </row>
    <row r="120" spans="1:6" x14ac:dyDescent="0.3">
      <c r="A120" t="s">
        <v>2</v>
      </c>
      <c r="B120" t="s">
        <v>9</v>
      </c>
      <c r="C120" t="s">
        <v>14</v>
      </c>
      <c r="D120" s="6">
        <v>0.01</v>
      </c>
      <c r="E120">
        <v>3</v>
      </c>
      <c r="F120" s="6">
        <v>0.67</v>
      </c>
    </row>
    <row r="121" spans="1:6" x14ac:dyDescent="0.3">
      <c r="A121" t="s">
        <v>8</v>
      </c>
      <c r="B121" t="s">
        <v>11</v>
      </c>
      <c r="C121" t="s">
        <v>13</v>
      </c>
      <c r="D121" s="6">
        <v>0.03</v>
      </c>
      <c r="E121">
        <v>2</v>
      </c>
      <c r="F121" s="6">
        <v>0.55000000000000004</v>
      </c>
    </row>
    <row r="122" spans="1:6" x14ac:dyDescent="0.3">
      <c r="A122" t="s">
        <v>2</v>
      </c>
      <c r="B122" t="s">
        <v>7</v>
      </c>
      <c r="C122" t="s">
        <v>14</v>
      </c>
      <c r="D122" s="6">
        <v>0.01</v>
      </c>
      <c r="E122">
        <v>2</v>
      </c>
      <c r="F122" s="6">
        <v>0.67</v>
      </c>
    </row>
    <row r="123" spans="1:6" x14ac:dyDescent="0.3">
      <c r="A123" t="s">
        <v>8</v>
      </c>
      <c r="B123" t="s">
        <v>7</v>
      </c>
      <c r="C123" t="s">
        <v>14</v>
      </c>
      <c r="D123" s="6">
        <v>0.04</v>
      </c>
      <c r="E123">
        <v>1</v>
      </c>
      <c r="F123" s="6">
        <v>0.59</v>
      </c>
    </row>
    <row r="124" spans="1:6" x14ac:dyDescent="0.3">
      <c r="A124" t="s">
        <v>2</v>
      </c>
      <c r="B124" t="s">
        <v>11</v>
      </c>
      <c r="C124" t="s">
        <v>13</v>
      </c>
      <c r="D124" s="6">
        <v>0.05</v>
      </c>
      <c r="E124">
        <v>1</v>
      </c>
      <c r="F124" s="6">
        <v>0.64</v>
      </c>
    </row>
    <row r="125" spans="1:6" x14ac:dyDescent="0.3">
      <c r="A125" t="s">
        <v>1</v>
      </c>
      <c r="B125" t="s">
        <v>7</v>
      </c>
      <c r="C125" t="s">
        <v>12</v>
      </c>
      <c r="D125" s="6">
        <v>0.03</v>
      </c>
      <c r="E125">
        <v>3</v>
      </c>
      <c r="F125" s="6">
        <v>0.69</v>
      </c>
    </row>
    <row r="126" spans="1:6" x14ac:dyDescent="0.3">
      <c r="A126" t="s">
        <v>1</v>
      </c>
      <c r="B126" t="s">
        <v>6</v>
      </c>
      <c r="C126" t="s">
        <v>14</v>
      </c>
      <c r="D126" s="6">
        <v>0.02</v>
      </c>
      <c r="E126">
        <v>1</v>
      </c>
      <c r="F126" s="6">
        <v>0.57999999999999996</v>
      </c>
    </row>
    <row r="127" spans="1:6" x14ac:dyDescent="0.3">
      <c r="A127" t="s">
        <v>8</v>
      </c>
      <c r="B127" t="s">
        <v>11</v>
      </c>
      <c r="C127" t="s">
        <v>12</v>
      </c>
      <c r="D127" s="6">
        <v>0.02</v>
      </c>
      <c r="E127">
        <v>2</v>
      </c>
      <c r="F127" s="6">
        <v>0.56999999999999995</v>
      </c>
    </row>
    <row r="128" spans="1:6" x14ac:dyDescent="0.3">
      <c r="A128" t="s">
        <v>8</v>
      </c>
      <c r="B128" t="s">
        <v>10</v>
      </c>
      <c r="C128" t="s">
        <v>14</v>
      </c>
      <c r="D128" s="6">
        <v>0.04</v>
      </c>
      <c r="E128">
        <v>3</v>
      </c>
      <c r="F128" s="6">
        <v>0.67</v>
      </c>
    </row>
    <row r="129" spans="1:6" x14ac:dyDescent="0.3">
      <c r="A129" t="s">
        <v>1</v>
      </c>
      <c r="B129" t="s">
        <v>7</v>
      </c>
      <c r="C129" t="s">
        <v>14</v>
      </c>
      <c r="D129" s="6">
        <v>0.03</v>
      </c>
      <c r="E129">
        <v>2</v>
      </c>
      <c r="F129" s="6">
        <v>0.62</v>
      </c>
    </row>
    <row r="130" spans="1:6" x14ac:dyDescent="0.3">
      <c r="A130" t="s">
        <v>0</v>
      </c>
      <c r="B130" t="s">
        <v>7</v>
      </c>
      <c r="C130" t="s">
        <v>12</v>
      </c>
      <c r="D130" s="6">
        <v>0.03</v>
      </c>
      <c r="E130">
        <v>1</v>
      </c>
      <c r="F130" s="6">
        <v>0.56999999999999995</v>
      </c>
    </row>
    <row r="131" spans="1:6" x14ac:dyDescent="0.3">
      <c r="A131" t="s">
        <v>1</v>
      </c>
      <c r="B131" t="s">
        <v>6</v>
      </c>
      <c r="C131" t="s">
        <v>12</v>
      </c>
      <c r="D131" s="6">
        <v>0.02</v>
      </c>
      <c r="E131">
        <v>1</v>
      </c>
      <c r="F131" s="6">
        <v>0.62</v>
      </c>
    </row>
    <row r="132" spans="1:6" x14ac:dyDescent="0.3">
      <c r="A132" t="s">
        <v>0</v>
      </c>
      <c r="B132" t="s">
        <v>6</v>
      </c>
      <c r="C132" t="s">
        <v>12</v>
      </c>
      <c r="D132" s="6">
        <v>0.01</v>
      </c>
      <c r="E132">
        <v>2</v>
      </c>
      <c r="F132" s="6">
        <v>0.57999999999999996</v>
      </c>
    </row>
    <row r="133" spans="1:6" x14ac:dyDescent="0.3">
      <c r="A133" t="s">
        <v>0</v>
      </c>
      <c r="B133" t="s">
        <v>9</v>
      </c>
      <c r="C133" t="s">
        <v>14</v>
      </c>
      <c r="D133" s="6">
        <v>0.03</v>
      </c>
      <c r="E133">
        <v>3</v>
      </c>
      <c r="F133" s="6">
        <v>0.56000000000000005</v>
      </c>
    </row>
    <row r="134" spans="1:6" x14ac:dyDescent="0.3">
      <c r="A134" t="s">
        <v>2</v>
      </c>
      <c r="B134" t="s">
        <v>10</v>
      </c>
      <c r="C134" t="s">
        <v>12</v>
      </c>
      <c r="D134" s="6">
        <v>0.03</v>
      </c>
      <c r="E134">
        <v>1</v>
      </c>
      <c r="F134" s="6">
        <v>0.7</v>
      </c>
    </row>
    <row r="135" spans="1:6" x14ac:dyDescent="0.3">
      <c r="A135" t="s">
        <v>8</v>
      </c>
      <c r="B135" t="s">
        <v>7</v>
      </c>
      <c r="C135" t="s">
        <v>12</v>
      </c>
      <c r="D135" s="6">
        <v>0.01</v>
      </c>
      <c r="E135">
        <v>1</v>
      </c>
      <c r="F135" s="6">
        <v>0.56000000000000005</v>
      </c>
    </row>
    <row r="136" spans="1:6" x14ac:dyDescent="0.3">
      <c r="A136" t="s">
        <v>2</v>
      </c>
      <c r="B136" t="s">
        <v>9</v>
      </c>
      <c r="C136" t="s">
        <v>12</v>
      </c>
      <c r="D136" s="6">
        <v>0.05</v>
      </c>
      <c r="E136">
        <v>3</v>
      </c>
      <c r="F136" s="6">
        <v>0.62</v>
      </c>
    </row>
    <row r="137" spans="1:6" x14ac:dyDescent="0.3">
      <c r="A137" t="s">
        <v>0</v>
      </c>
      <c r="B137" t="s">
        <v>7</v>
      </c>
      <c r="C137" t="s">
        <v>14</v>
      </c>
      <c r="D137" s="6">
        <v>0.04</v>
      </c>
      <c r="E137">
        <v>1</v>
      </c>
      <c r="F137" s="6">
        <v>0.69</v>
      </c>
    </row>
    <row r="138" spans="1:6" x14ac:dyDescent="0.3">
      <c r="A138" t="s">
        <v>1</v>
      </c>
      <c r="B138" t="s">
        <v>10</v>
      </c>
      <c r="C138" t="s">
        <v>13</v>
      </c>
      <c r="D138" s="6">
        <v>0.03</v>
      </c>
      <c r="E138">
        <v>1</v>
      </c>
      <c r="F138" s="6">
        <v>0.52</v>
      </c>
    </row>
    <row r="139" spans="1:6" x14ac:dyDescent="0.3">
      <c r="A139" t="s">
        <v>1</v>
      </c>
      <c r="B139" t="s">
        <v>6</v>
      </c>
      <c r="C139" t="s">
        <v>12</v>
      </c>
      <c r="D139" s="6">
        <v>0.04</v>
      </c>
      <c r="E139">
        <v>3</v>
      </c>
      <c r="F139" s="6">
        <v>0.66</v>
      </c>
    </row>
    <row r="140" spans="1:6" x14ac:dyDescent="0.3">
      <c r="A140" t="s">
        <v>2</v>
      </c>
      <c r="B140" t="s">
        <v>7</v>
      </c>
      <c r="C140" t="s">
        <v>12</v>
      </c>
      <c r="D140" s="6">
        <v>0.04</v>
      </c>
      <c r="E140">
        <v>1</v>
      </c>
      <c r="F140" s="6">
        <v>0.68</v>
      </c>
    </row>
    <row r="141" spans="1:6" x14ac:dyDescent="0.3">
      <c r="A141" t="s">
        <v>0</v>
      </c>
      <c r="B141" t="s">
        <v>7</v>
      </c>
      <c r="C141" t="s">
        <v>12</v>
      </c>
      <c r="D141" s="6">
        <v>0.04</v>
      </c>
      <c r="E141">
        <v>2</v>
      </c>
      <c r="F141" s="6">
        <v>0.55000000000000004</v>
      </c>
    </row>
    <row r="142" spans="1:6" x14ac:dyDescent="0.3">
      <c r="A142" t="s">
        <v>2</v>
      </c>
      <c r="B142" t="s">
        <v>7</v>
      </c>
      <c r="C142" t="s">
        <v>14</v>
      </c>
      <c r="D142" s="6">
        <v>0.01</v>
      </c>
      <c r="E142">
        <v>3</v>
      </c>
      <c r="F142" s="6">
        <v>0.54</v>
      </c>
    </row>
    <row r="143" spans="1:6" x14ac:dyDescent="0.3">
      <c r="A143" t="s">
        <v>0</v>
      </c>
      <c r="B143" t="s">
        <v>6</v>
      </c>
      <c r="C143" t="s">
        <v>14</v>
      </c>
      <c r="D143" s="6">
        <v>0.01</v>
      </c>
      <c r="E143">
        <v>1</v>
      </c>
      <c r="F143" s="6">
        <v>0.51</v>
      </c>
    </row>
    <row r="144" spans="1:6" x14ac:dyDescent="0.3">
      <c r="A144" t="s">
        <v>1</v>
      </c>
      <c r="B144" t="s">
        <v>10</v>
      </c>
      <c r="C144" t="s">
        <v>13</v>
      </c>
      <c r="D144" s="6">
        <v>0.02</v>
      </c>
      <c r="E144">
        <v>2</v>
      </c>
      <c r="F144" s="6">
        <v>0.53</v>
      </c>
    </row>
    <row r="145" spans="1:6" x14ac:dyDescent="0.3">
      <c r="A145" t="s">
        <v>2</v>
      </c>
      <c r="B145" t="s">
        <v>6</v>
      </c>
      <c r="C145" t="s">
        <v>13</v>
      </c>
      <c r="D145" s="6">
        <v>0.01</v>
      </c>
      <c r="E145">
        <v>1</v>
      </c>
      <c r="F145" s="6">
        <v>0.57999999999999996</v>
      </c>
    </row>
    <row r="146" spans="1:6" x14ac:dyDescent="0.3">
      <c r="A146" t="s">
        <v>0</v>
      </c>
      <c r="B146" t="s">
        <v>11</v>
      </c>
      <c r="C146" t="s">
        <v>13</v>
      </c>
      <c r="D146" s="6">
        <v>0.03</v>
      </c>
      <c r="E146">
        <v>3</v>
      </c>
      <c r="F146" s="6">
        <v>0.54</v>
      </c>
    </row>
    <row r="147" spans="1:6" x14ac:dyDescent="0.3">
      <c r="A147" t="s">
        <v>8</v>
      </c>
      <c r="B147" t="s">
        <v>10</v>
      </c>
      <c r="C147" t="s">
        <v>12</v>
      </c>
      <c r="D147" s="6">
        <v>0.05</v>
      </c>
      <c r="E147">
        <v>3</v>
      </c>
      <c r="F147" s="6">
        <v>0.53</v>
      </c>
    </row>
    <row r="148" spans="1:6" x14ac:dyDescent="0.3">
      <c r="A148" t="s">
        <v>8</v>
      </c>
      <c r="B148" t="s">
        <v>6</v>
      </c>
      <c r="C148" t="s">
        <v>14</v>
      </c>
      <c r="D148" s="6">
        <v>0.04</v>
      </c>
      <c r="E148">
        <v>1</v>
      </c>
      <c r="F148" s="6">
        <v>0.57999999999999996</v>
      </c>
    </row>
    <row r="149" spans="1:6" x14ac:dyDescent="0.3">
      <c r="A149" t="s">
        <v>8</v>
      </c>
      <c r="B149" t="s">
        <v>7</v>
      </c>
      <c r="C149" t="s">
        <v>13</v>
      </c>
      <c r="D149" s="6">
        <v>0.02</v>
      </c>
      <c r="E149">
        <v>3</v>
      </c>
      <c r="F149" s="6">
        <v>0.54</v>
      </c>
    </row>
    <row r="150" spans="1:6" x14ac:dyDescent="0.3">
      <c r="A150" t="s">
        <v>8</v>
      </c>
      <c r="B150" t="s">
        <v>7</v>
      </c>
      <c r="C150" t="s">
        <v>14</v>
      </c>
      <c r="D150" s="6">
        <v>0.05</v>
      </c>
      <c r="E150">
        <v>3</v>
      </c>
      <c r="F150" s="6">
        <v>0.57999999999999996</v>
      </c>
    </row>
    <row r="151" spans="1:6" x14ac:dyDescent="0.3">
      <c r="A151" t="s">
        <v>8</v>
      </c>
      <c r="B151" t="s">
        <v>9</v>
      </c>
      <c r="C151" t="s">
        <v>14</v>
      </c>
      <c r="D151" s="6">
        <v>0.03</v>
      </c>
      <c r="E151">
        <v>1</v>
      </c>
      <c r="F151" s="6">
        <v>0.65</v>
      </c>
    </row>
    <row r="152" spans="1:6" x14ac:dyDescent="0.3">
      <c r="A152" t="s">
        <v>1</v>
      </c>
      <c r="B152" t="s">
        <v>6</v>
      </c>
      <c r="C152" t="s">
        <v>12</v>
      </c>
      <c r="D152" s="6">
        <v>0.03</v>
      </c>
      <c r="E152">
        <v>3</v>
      </c>
      <c r="F152" s="6">
        <v>0.53</v>
      </c>
    </row>
    <row r="153" spans="1:6" x14ac:dyDescent="0.3">
      <c r="A153" t="s">
        <v>8</v>
      </c>
      <c r="B153" t="s">
        <v>6</v>
      </c>
      <c r="C153" t="s">
        <v>14</v>
      </c>
      <c r="D153" s="6">
        <v>0.01</v>
      </c>
      <c r="E153">
        <v>1</v>
      </c>
      <c r="F153" s="6">
        <v>0.67</v>
      </c>
    </row>
    <row r="154" spans="1:6" x14ac:dyDescent="0.3">
      <c r="A154" t="s">
        <v>8</v>
      </c>
      <c r="B154" t="s">
        <v>10</v>
      </c>
      <c r="C154" t="s">
        <v>14</v>
      </c>
      <c r="D154" s="6">
        <v>0.05</v>
      </c>
      <c r="E154">
        <v>1</v>
      </c>
      <c r="F154" s="6">
        <v>0.6</v>
      </c>
    </row>
    <row r="155" spans="1:6" x14ac:dyDescent="0.3">
      <c r="A155" t="s">
        <v>2</v>
      </c>
      <c r="B155" t="s">
        <v>10</v>
      </c>
      <c r="C155" t="s">
        <v>13</v>
      </c>
      <c r="D155" s="6">
        <v>0.05</v>
      </c>
      <c r="E155">
        <v>3</v>
      </c>
      <c r="F155" s="6">
        <v>0.5</v>
      </c>
    </row>
    <row r="156" spans="1:6" x14ac:dyDescent="0.3">
      <c r="A156" t="s">
        <v>0</v>
      </c>
      <c r="B156" t="s">
        <v>9</v>
      </c>
      <c r="C156" t="s">
        <v>13</v>
      </c>
      <c r="D156" s="6">
        <v>0.01</v>
      </c>
      <c r="E156">
        <v>3</v>
      </c>
      <c r="F156" s="6">
        <v>0.69</v>
      </c>
    </row>
    <row r="157" spans="1:6" x14ac:dyDescent="0.3">
      <c r="A157" t="s">
        <v>2</v>
      </c>
      <c r="B157" t="s">
        <v>9</v>
      </c>
      <c r="C157" t="s">
        <v>12</v>
      </c>
      <c r="D157" s="6">
        <v>0.05</v>
      </c>
      <c r="E157">
        <v>1</v>
      </c>
      <c r="F157" s="6">
        <v>0.8</v>
      </c>
    </row>
    <row r="158" spans="1:6" x14ac:dyDescent="0.3">
      <c r="A158" t="s">
        <v>1</v>
      </c>
      <c r="B158" t="s">
        <v>10</v>
      </c>
      <c r="C158" t="s">
        <v>13</v>
      </c>
      <c r="D158" s="6">
        <v>0.04</v>
      </c>
      <c r="E158">
        <v>2</v>
      </c>
      <c r="F158" s="6">
        <v>0.73</v>
      </c>
    </row>
    <row r="159" spans="1:6" x14ac:dyDescent="0.3">
      <c r="A159" t="s">
        <v>1</v>
      </c>
      <c r="B159" t="s">
        <v>9</v>
      </c>
      <c r="C159" t="s">
        <v>13</v>
      </c>
      <c r="D159" s="6">
        <v>0.03</v>
      </c>
      <c r="E159">
        <v>3</v>
      </c>
      <c r="F159" s="6">
        <v>0.72</v>
      </c>
    </row>
    <row r="160" spans="1:6" x14ac:dyDescent="0.3">
      <c r="A160" t="s">
        <v>0</v>
      </c>
      <c r="B160" t="s">
        <v>11</v>
      </c>
      <c r="C160" t="s">
        <v>14</v>
      </c>
      <c r="D160" s="6">
        <v>0.05</v>
      </c>
      <c r="E160">
        <v>1</v>
      </c>
      <c r="F160" s="6">
        <v>0.73</v>
      </c>
    </row>
    <row r="161" spans="1:6" x14ac:dyDescent="0.3">
      <c r="A161" t="s">
        <v>8</v>
      </c>
      <c r="B161" t="s">
        <v>6</v>
      </c>
      <c r="C161" t="s">
        <v>14</v>
      </c>
      <c r="D161" s="6">
        <v>0.03</v>
      </c>
      <c r="E161">
        <v>2</v>
      </c>
      <c r="F161" s="6">
        <v>0.86</v>
      </c>
    </row>
    <row r="162" spans="1:6" x14ac:dyDescent="0.3">
      <c r="A162" t="s">
        <v>2</v>
      </c>
      <c r="B162" t="s">
        <v>9</v>
      </c>
      <c r="C162" t="s">
        <v>14</v>
      </c>
      <c r="D162" s="6">
        <v>0.05</v>
      </c>
      <c r="E162">
        <v>1</v>
      </c>
      <c r="F162" s="6">
        <v>0.77</v>
      </c>
    </row>
    <row r="163" spans="1:6" x14ac:dyDescent="0.3">
      <c r="A163" t="s">
        <v>2</v>
      </c>
      <c r="B163" t="s">
        <v>9</v>
      </c>
      <c r="C163" t="s">
        <v>12</v>
      </c>
      <c r="D163" s="6">
        <v>0.05</v>
      </c>
      <c r="E163">
        <v>1</v>
      </c>
      <c r="F163" s="6">
        <v>0.85</v>
      </c>
    </row>
    <row r="164" spans="1:6" x14ac:dyDescent="0.3">
      <c r="A164" t="s">
        <v>2</v>
      </c>
      <c r="B164" t="s">
        <v>7</v>
      </c>
      <c r="C164" t="s">
        <v>13</v>
      </c>
      <c r="D164" s="6">
        <v>0.02</v>
      </c>
      <c r="E164">
        <v>1</v>
      </c>
      <c r="F164" s="6">
        <v>0.83</v>
      </c>
    </row>
    <row r="165" spans="1:6" x14ac:dyDescent="0.3">
      <c r="A165" t="s">
        <v>2</v>
      </c>
      <c r="B165" t="s">
        <v>10</v>
      </c>
      <c r="C165" t="s">
        <v>14</v>
      </c>
      <c r="D165" s="6">
        <v>0.01</v>
      </c>
      <c r="E165">
        <v>2</v>
      </c>
      <c r="F165" s="6">
        <v>0.88</v>
      </c>
    </row>
    <row r="166" spans="1:6" x14ac:dyDescent="0.3">
      <c r="A166" t="s">
        <v>0</v>
      </c>
      <c r="B166" t="s">
        <v>10</v>
      </c>
      <c r="C166" t="s">
        <v>13</v>
      </c>
      <c r="D166" s="6">
        <v>0.03</v>
      </c>
      <c r="E166">
        <v>3</v>
      </c>
      <c r="F166" s="6">
        <v>0.76</v>
      </c>
    </row>
    <row r="167" spans="1:6" x14ac:dyDescent="0.3">
      <c r="A167" t="s">
        <v>0</v>
      </c>
      <c r="B167" t="s">
        <v>10</v>
      </c>
      <c r="C167" t="s">
        <v>12</v>
      </c>
      <c r="D167" s="6">
        <v>0.04</v>
      </c>
      <c r="E167">
        <v>1</v>
      </c>
      <c r="F167" s="6">
        <v>0.77</v>
      </c>
    </row>
    <row r="168" spans="1:6" x14ac:dyDescent="0.3">
      <c r="A168" t="s">
        <v>2</v>
      </c>
      <c r="B168" t="s">
        <v>10</v>
      </c>
      <c r="C168" t="s">
        <v>12</v>
      </c>
      <c r="D168" s="6">
        <v>0.03</v>
      </c>
      <c r="E168">
        <v>1</v>
      </c>
      <c r="F168" s="6">
        <v>0.72</v>
      </c>
    </row>
    <row r="169" spans="1:6" x14ac:dyDescent="0.3">
      <c r="A169" t="s">
        <v>2</v>
      </c>
      <c r="B169" t="s">
        <v>10</v>
      </c>
      <c r="C169" t="s">
        <v>12</v>
      </c>
      <c r="D169" s="6">
        <v>0.04</v>
      </c>
      <c r="E169">
        <v>1</v>
      </c>
      <c r="F169" s="6">
        <v>0.86</v>
      </c>
    </row>
    <row r="170" spans="1:6" x14ac:dyDescent="0.3">
      <c r="A170" t="s">
        <v>2</v>
      </c>
      <c r="B170" t="s">
        <v>7</v>
      </c>
      <c r="C170" t="s">
        <v>14</v>
      </c>
      <c r="D170" s="6">
        <v>0.03</v>
      </c>
      <c r="E170">
        <v>2</v>
      </c>
      <c r="F170" s="6">
        <v>0.78</v>
      </c>
    </row>
    <row r="171" spans="1:6" x14ac:dyDescent="0.3">
      <c r="A171" t="s">
        <v>8</v>
      </c>
      <c r="B171" t="s">
        <v>10</v>
      </c>
      <c r="C171" t="s">
        <v>13</v>
      </c>
      <c r="D171" s="6">
        <v>0.05</v>
      </c>
      <c r="E171">
        <v>3</v>
      </c>
      <c r="F171" s="6">
        <v>0.78</v>
      </c>
    </row>
    <row r="172" spans="1:6" x14ac:dyDescent="0.3">
      <c r="A172" t="s">
        <v>0</v>
      </c>
      <c r="B172" t="s">
        <v>6</v>
      </c>
      <c r="C172" t="s">
        <v>13</v>
      </c>
      <c r="D172" s="6">
        <v>0.03</v>
      </c>
      <c r="E172">
        <v>2</v>
      </c>
      <c r="F172" s="6">
        <v>0.7</v>
      </c>
    </row>
    <row r="173" spans="1:6" x14ac:dyDescent="0.3">
      <c r="A173" t="s">
        <v>1</v>
      </c>
      <c r="B173" t="s">
        <v>6</v>
      </c>
      <c r="C173" t="s">
        <v>12</v>
      </c>
      <c r="D173" s="6">
        <v>0.05</v>
      </c>
      <c r="E173">
        <v>2</v>
      </c>
      <c r="F173" s="6">
        <v>0.88</v>
      </c>
    </row>
    <row r="174" spans="1:6" x14ac:dyDescent="0.3">
      <c r="A174" t="s">
        <v>8</v>
      </c>
      <c r="B174" t="s">
        <v>6</v>
      </c>
      <c r="C174" t="s">
        <v>12</v>
      </c>
      <c r="D174" s="6">
        <v>0.03</v>
      </c>
      <c r="E174">
        <v>3</v>
      </c>
      <c r="F174" s="6">
        <v>0.8</v>
      </c>
    </row>
    <row r="175" spans="1:6" x14ac:dyDescent="0.3">
      <c r="A175" t="s">
        <v>2</v>
      </c>
      <c r="B175" t="s">
        <v>6</v>
      </c>
      <c r="C175" t="s">
        <v>13</v>
      </c>
      <c r="D175" s="6">
        <v>0.03</v>
      </c>
      <c r="E175">
        <v>2</v>
      </c>
      <c r="F175" s="6">
        <v>0.77</v>
      </c>
    </row>
    <row r="176" spans="1:6" x14ac:dyDescent="0.3">
      <c r="A176" t="s">
        <v>0</v>
      </c>
      <c r="B176" t="s">
        <v>11</v>
      </c>
      <c r="C176" t="s">
        <v>14</v>
      </c>
      <c r="D176" s="6">
        <v>0.04</v>
      </c>
      <c r="E176">
        <v>1</v>
      </c>
      <c r="F176" s="6">
        <v>0.76</v>
      </c>
    </row>
    <row r="177" spans="1:6" x14ac:dyDescent="0.3">
      <c r="A177" t="s">
        <v>0</v>
      </c>
      <c r="B177" t="s">
        <v>10</v>
      </c>
      <c r="C177" t="s">
        <v>14</v>
      </c>
      <c r="D177" s="6">
        <v>0.03</v>
      </c>
      <c r="E177">
        <v>2</v>
      </c>
      <c r="F177" s="6">
        <v>0.84</v>
      </c>
    </row>
    <row r="178" spans="1:6" x14ac:dyDescent="0.3">
      <c r="A178" t="s">
        <v>0</v>
      </c>
      <c r="B178" t="s">
        <v>10</v>
      </c>
      <c r="C178" t="s">
        <v>14</v>
      </c>
      <c r="D178" s="6">
        <v>0.02</v>
      </c>
      <c r="E178">
        <v>1</v>
      </c>
      <c r="F178" s="6">
        <v>0.8</v>
      </c>
    </row>
    <row r="179" spans="1:6" x14ac:dyDescent="0.3">
      <c r="A179" t="s">
        <v>0</v>
      </c>
      <c r="B179" t="s">
        <v>10</v>
      </c>
      <c r="C179" t="s">
        <v>13</v>
      </c>
      <c r="D179" s="6">
        <v>0.05</v>
      </c>
      <c r="E179">
        <v>3</v>
      </c>
      <c r="F179" s="6">
        <v>0.82</v>
      </c>
    </row>
    <row r="180" spans="1:6" x14ac:dyDescent="0.3">
      <c r="A180" t="s">
        <v>8</v>
      </c>
      <c r="B180" t="s">
        <v>6</v>
      </c>
      <c r="C180" t="s">
        <v>12</v>
      </c>
      <c r="D180" s="6">
        <v>0.04</v>
      </c>
      <c r="E180">
        <v>2</v>
      </c>
      <c r="F180" s="6">
        <v>0.78</v>
      </c>
    </row>
    <row r="181" spans="1:6" x14ac:dyDescent="0.3">
      <c r="A181" t="s">
        <v>0</v>
      </c>
      <c r="B181" t="s">
        <v>10</v>
      </c>
      <c r="C181" t="s">
        <v>13</v>
      </c>
      <c r="D181" s="6">
        <v>0.01</v>
      </c>
      <c r="E181">
        <v>3</v>
      </c>
      <c r="F181" s="6">
        <v>0.74</v>
      </c>
    </row>
    <row r="182" spans="1:6" x14ac:dyDescent="0.3">
      <c r="A182" t="s">
        <v>2</v>
      </c>
      <c r="B182" t="s">
        <v>6</v>
      </c>
      <c r="C182" t="s">
        <v>12</v>
      </c>
      <c r="D182" s="6">
        <v>0.01</v>
      </c>
      <c r="E182">
        <v>2</v>
      </c>
      <c r="F182" s="6">
        <v>0.89</v>
      </c>
    </row>
    <row r="183" spans="1:6" x14ac:dyDescent="0.3">
      <c r="A183" t="s">
        <v>0</v>
      </c>
      <c r="B183" t="s">
        <v>9</v>
      </c>
      <c r="C183" t="s">
        <v>13</v>
      </c>
      <c r="D183" s="6">
        <v>0.03</v>
      </c>
      <c r="E183">
        <v>2</v>
      </c>
      <c r="F183" s="6">
        <v>0.81</v>
      </c>
    </row>
    <row r="184" spans="1:6" x14ac:dyDescent="0.3">
      <c r="A184" t="s">
        <v>8</v>
      </c>
      <c r="B184" t="s">
        <v>11</v>
      </c>
      <c r="C184" t="s">
        <v>13</v>
      </c>
      <c r="D184" s="6">
        <v>0.05</v>
      </c>
      <c r="E184">
        <v>2</v>
      </c>
      <c r="F184" s="6">
        <v>0.76</v>
      </c>
    </row>
    <row r="185" spans="1:6" x14ac:dyDescent="0.3">
      <c r="A185" t="s">
        <v>2</v>
      </c>
      <c r="B185" t="s">
        <v>6</v>
      </c>
      <c r="C185" t="s">
        <v>14</v>
      </c>
      <c r="D185" s="6">
        <v>0.05</v>
      </c>
      <c r="E185">
        <v>1</v>
      </c>
      <c r="F185" s="6">
        <v>0.85</v>
      </c>
    </row>
    <row r="186" spans="1:6" x14ac:dyDescent="0.3">
      <c r="A186" t="s">
        <v>2</v>
      </c>
      <c r="B186" t="s">
        <v>6</v>
      </c>
      <c r="C186" t="s">
        <v>12</v>
      </c>
      <c r="D186" s="6">
        <v>0.05</v>
      </c>
      <c r="E186">
        <v>2</v>
      </c>
      <c r="F186" s="6">
        <v>0.84</v>
      </c>
    </row>
    <row r="187" spans="1:6" x14ac:dyDescent="0.3">
      <c r="A187" t="s">
        <v>2</v>
      </c>
      <c r="B187" t="s">
        <v>9</v>
      </c>
      <c r="C187" t="s">
        <v>13</v>
      </c>
      <c r="D187" s="6">
        <v>0.05</v>
      </c>
      <c r="E187">
        <v>2</v>
      </c>
      <c r="F187" s="6">
        <v>0.88</v>
      </c>
    </row>
    <row r="188" spans="1:6" x14ac:dyDescent="0.3">
      <c r="A188" t="s">
        <v>0</v>
      </c>
      <c r="B188" t="s">
        <v>10</v>
      </c>
      <c r="C188" t="s">
        <v>12</v>
      </c>
      <c r="D188" s="6">
        <v>0.04</v>
      </c>
      <c r="E188">
        <v>3</v>
      </c>
      <c r="F188" s="6">
        <v>0.84</v>
      </c>
    </row>
    <row r="189" spans="1:6" x14ac:dyDescent="0.3">
      <c r="A189" t="s">
        <v>1</v>
      </c>
      <c r="B189" t="s">
        <v>9</v>
      </c>
      <c r="C189" t="s">
        <v>14</v>
      </c>
      <c r="D189" s="6">
        <v>0.05</v>
      </c>
      <c r="E189">
        <v>3</v>
      </c>
      <c r="F189" s="6">
        <v>0.72</v>
      </c>
    </row>
    <row r="190" spans="1:6" x14ac:dyDescent="0.3">
      <c r="A190" t="s">
        <v>1</v>
      </c>
      <c r="B190" t="s">
        <v>7</v>
      </c>
      <c r="C190" t="s">
        <v>13</v>
      </c>
      <c r="D190" s="6">
        <v>0.03</v>
      </c>
      <c r="E190">
        <v>3</v>
      </c>
      <c r="F190" s="6">
        <v>0.73</v>
      </c>
    </row>
    <row r="191" spans="1:6" x14ac:dyDescent="0.3">
      <c r="A191" t="s">
        <v>1</v>
      </c>
      <c r="B191" t="s">
        <v>6</v>
      </c>
      <c r="C191" t="s">
        <v>13</v>
      </c>
      <c r="D191" s="6">
        <v>0.02</v>
      </c>
      <c r="E191">
        <v>2</v>
      </c>
      <c r="F191" s="6">
        <v>0.85</v>
      </c>
    </row>
    <row r="192" spans="1:6" x14ac:dyDescent="0.3">
      <c r="A192" t="s">
        <v>0</v>
      </c>
      <c r="B192" t="s">
        <v>9</v>
      </c>
      <c r="C192" t="s">
        <v>12</v>
      </c>
      <c r="D192" s="6">
        <v>0.01</v>
      </c>
      <c r="E192">
        <v>3</v>
      </c>
      <c r="F192" s="6">
        <v>0.81</v>
      </c>
    </row>
    <row r="193" spans="1:6" x14ac:dyDescent="0.3">
      <c r="A193" t="s">
        <v>1</v>
      </c>
      <c r="B193" t="s">
        <v>6</v>
      </c>
      <c r="C193" t="s">
        <v>12</v>
      </c>
      <c r="D193" s="6">
        <v>0.04</v>
      </c>
      <c r="E193">
        <v>3</v>
      </c>
      <c r="F193" s="6">
        <v>0.75</v>
      </c>
    </row>
    <row r="194" spans="1:6" x14ac:dyDescent="0.3">
      <c r="A194" t="s">
        <v>0</v>
      </c>
      <c r="B194" t="s">
        <v>6</v>
      </c>
      <c r="C194" t="s">
        <v>13</v>
      </c>
      <c r="D194" s="6">
        <v>0.02</v>
      </c>
      <c r="E194">
        <v>2</v>
      </c>
      <c r="F194" s="6">
        <v>0.84</v>
      </c>
    </row>
    <row r="195" spans="1:6" x14ac:dyDescent="0.3">
      <c r="A195" t="s">
        <v>8</v>
      </c>
      <c r="B195" t="s">
        <v>10</v>
      </c>
      <c r="C195" t="s">
        <v>14</v>
      </c>
      <c r="D195" s="6">
        <v>0.01</v>
      </c>
      <c r="E195">
        <v>2</v>
      </c>
      <c r="F195" s="6">
        <v>0.83</v>
      </c>
    </row>
    <row r="196" spans="1:6" x14ac:dyDescent="0.3">
      <c r="A196" t="s">
        <v>0</v>
      </c>
      <c r="B196" t="s">
        <v>7</v>
      </c>
      <c r="C196" t="s">
        <v>12</v>
      </c>
      <c r="D196" s="6">
        <v>0.01</v>
      </c>
      <c r="E196">
        <v>2</v>
      </c>
      <c r="F196" s="6">
        <v>0.86</v>
      </c>
    </row>
    <row r="197" spans="1:6" x14ac:dyDescent="0.3">
      <c r="A197" t="s">
        <v>1</v>
      </c>
      <c r="B197" t="s">
        <v>10</v>
      </c>
      <c r="C197" t="s">
        <v>13</v>
      </c>
      <c r="D197" s="6">
        <v>0.01</v>
      </c>
      <c r="E197">
        <v>1</v>
      </c>
      <c r="F197" s="6">
        <v>0.87</v>
      </c>
    </row>
    <row r="198" spans="1:6" x14ac:dyDescent="0.3">
      <c r="A198" t="s">
        <v>2</v>
      </c>
      <c r="B198" t="s">
        <v>11</v>
      </c>
      <c r="C198" t="s">
        <v>13</v>
      </c>
      <c r="D198" s="6">
        <v>0.05</v>
      </c>
      <c r="E198">
        <v>3</v>
      </c>
      <c r="F198" s="6">
        <v>0.8</v>
      </c>
    </row>
    <row r="199" spans="1:6" x14ac:dyDescent="0.3">
      <c r="A199" t="s">
        <v>0</v>
      </c>
      <c r="B199" t="s">
        <v>10</v>
      </c>
      <c r="C199" t="s">
        <v>13</v>
      </c>
      <c r="D199" s="6">
        <v>0.03</v>
      </c>
      <c r="E199">
        <v>1</v>
      </c>
      <c r="F199" s="6">
        <v>0.78</v>
      </c>
    </row>
    <row r="200" spans="1:6" x14ac:dyDescent="0.3">
      <c r="A200" t="s">
        <v>8</v>
      </c>
      <c r="B200" t="s">
        <v>11</v>
      </c>
      <c r="C200" t="s">
        <v>14</v>
      </c>
      <c r="D200" s="6">
        <v>0.02</v>
      </c>
      <c r="E200">
        <v>1</v>
      </c>
      <c r="F200" s="6">
        <v>0.82</v>
      </c>
    </row>
    <row r="201" spans="1:6" x14ac:dyDescent="0.3">
      <c r="A201" t="s">
        <v>1</v>
      </c>
      <c r="B201" t="s">
        <v>10</v>
      </c>
      <c r="C201" t="s">
        <v>13</v>
      </c>
      <c r="D201" s="6">
        <v>0.03</v>
      </c>
      <c r="E201">
        <v>2</v>
      </c>
      <c r="F201" s="6">
        <v>0.88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D846B-F51A-4947-BA5F-A2B0D1E481AA}">
  <dimension ref="A1:AA36"/>
  <sheetViews>
    <sheetView tabSelected="1" zoomScale="85" zoomScaleNormal="85" workbookViewId="0">
      <selection activeCell="I5" sqref="I5"/>
    </sheetView>
  </sheetViews>
  <sheetFormatPr defaultRowHeight="14.4" x14ac:dyDescent="0.3"/>
  <sheetData>
    <row r="1" spans="1:27" ht="14.4" customHeight="1" x14ac:dyDescent="0.3">
      <c r="A1" s="28" t="s">
        <v>31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spans="1:27" ht="14.4" customHeight="1" x14ac:dyDescent="0.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spans="1:27" ht="14.4" customHeight="1" x14ac:dyDescent="0.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spans="1:27" ht="14.4" customHeight="1" x14ac:dyDescent="0.3">
      <c r="A4" s="89" t="s">
        <v>41</v>
      </c>
      <c r="B4" s="90"/>
      <c r="C4" s="90"/>
      <c r="D4" s="90"/>
      <c r="E4" s="90"/>
      <c r="F4" s="90"/>
      <c r="G4" s="90"/>
      <c r="H4" s="91"/>
      <c r="L4" s="83" t="s">
        <v>40</v>
      </c>
      <c r="M4" s="84"/>
      <c r="N4" s="84"/>
      <c r="O4" s="84"/>
      <c r="P4" s="84"/>
      <c r="Q4" s="84"/>
      <c r="R4" s="84"/>
      <c r="S4" s="85"/>
      <c r="T4" s="29"/>
      <c r="U4" s="29"/>
      <c r="V4" s="29"/>
      <c r="W4" s="48" t="s">
        <v>3</v>
      </c>
      <c r="X4" s="48"/>
      <c r="Y4" s="48"/>
      <c r="Z4" s="48"/>
      <c r="AA4" s="48"/>
    </row>
    <row r="5" spans="1:27" ht="14.4" customHeight="1" x14ac:dyDescent="0.3">
      <c r="A5" s="92"/>
      <c r="B5" s="93"/>
      <c r="C5" s="93"/>
      <c r="D5" s="93"/>
      <c r="E5" s="93"/>
      <c r="F5" s="93"/>
      <c r="G5" s="93"/>
      <c r="H5" s="94"/>
      <c r="L5" s="86"/>
      <c r="M5" s="87"/>
      <c r="N5" s="87"/>
      <c r="O5" s="87"/>
      <c r="P5" s="87"/>
      <c r="Q5" s="87"/>
      <c r="R5" s="87"/>
      <c r="S5" s="88"/>
      <c r="T5" s="29"/>
      <c r="U5" s="29"/>
      <c r="V5" s="29"/>
      <c r="W5" s="48"/>
      <c r="X5" s="48"/>
      <c r="Y5" s="48"/>
      <c r="Z5" s="48"/>
      <c r="AA5" s="48"/>
    </row>
    <row r="6" spans="1:27" ht="14.4" customHeight="1" x14ac:dyDescent="0.3">
      <c r="L6" s="42"/>
      <c r="M6" s="42"/>
      <c r="N6" s="42"/>
      <c r="O6" s="42"/>
      <c r="P6" s="42"/>
      <c r="T6" s="29"/>
      <c r="U6" s="29"/>
      <c r="V6" s="29"/>
    </row>
    <row r="7" spans="1:27" ht="14.4" customHeight="1" x14ac:dyDescent="0.3">
      <c r="I7" s="50" t="s">
        <v>34</v>
      </c>
      <c r="J7" s="51"/>
      <c r="K7" s="52"/>
      <c r="L7" s="42"/>
      <c r="M7" s="42"/>
      <c r="N7" s="42"/>
      <c r="O7" s="42"/>
      <c r="P7" s="42"/>
      <c r="T7" s="49" t="s">
        <v>36</v>
      </c>
      <c r="U7" s="49"/>
      <c r="V7" s="49"/>
    </row>
    <row r="8" spans="1:27" x14ac:dyDescent="0.3">
      <c r="I8" s="53"/>
      <c r="J8" s="54"/>
      <c r="K8" s="55"/>
      <c r="L8" s="40"/>
      <c r="M8" s="40"/>
      <c r="N8" s="41"/>
      <c r="O8" s="41"/>
      <c r="T8" s="49"/>
      <c r="U8" s="49"/>
      <c r="V8" s="49"/>
    </row>
    <row r="9" spans="1:27" x14ac:dyDescent="0.3">
      <c r="I9" s="78" t="s">
        <v>32</v>
      </c>
      <c r="J9" s="79"/>
      <c r="K9" s="80"/>
      <c r="L9" s="40"/>
      <c r="M9" s="40"/>
      <c r="N9" s="41"/>
      <c r="O9" s="41"/>
      <c r="T9" s="49"/>
      <c r="U9" s="49"/>
      <c r="V9" s="49"/>
    </row>
    <row r="10" spans="1:27" x14ac:dyDescent="0.3">
      <c r="I10" s="78"/>
      <c r="J10" s="79"/>
      <c r="K10" s="80"/>
      <c r="T10" s="45" t="s">
        <v>37</v>
      </c>
      <c r="U10" s="45"/>
      <c r="V10" s="45"/>
    </row>
    <row r="11" spans="1:27" ht="14.4" customHeight="1" x14ac:dyDescent="0.3">
      <c r="I11" s="62" t="s">
        <v>6</v>
      </c>
      <c r="J11" s="62"/>
      <c r="K11" s="63"/>
      <c r="T11" s="45"/>
      <c r="U11" s="45"/>
      <c r="V11" s="45"/>
    </row>
    <row r="12" spans="1:27" x14ac:dyDescent="0.3">
      <c r="I12" s="62"/>
      <c r="J12" s="62"/>
      <c r="K12" s="63"/>
      <c r="T12" s="45"/>
      <c r="U12" s="45"/>
      <c r="V12" s="45"/>
    </row>
    <row r="13" spans="1:27" x14ac:dyDescent="0.3">
      <c r="I13" s="56">
        <v>0.93</v>
      </c>
      <c r="J13" s="57"/>
      <c r="K13" s="58"/>
      <c r="T13" s="46" t="s">
        <v>6</v>
      </c>
      <c r="U13" s="46"/>
      <c r="V13" s="46"/>
    </row>
    <row r="14" spans="1:27" x14ac:dyDescent="0.3">
      <c r="I14" s="59"/>
      <c r="J14" s="60"/>
      <c r="K14" s="61"/>
      <c r="T14" s="46"/>
      <c r="U14" s="46"/>
      <c r="V14" s="46"/>
    </row>
    <row r="15" spans="1:27" x14ac:dyDescent="0.3">
      <c r="I15" s="72" t="s">
        <v>33</v>
      </c>
      <c r="J15" s="73"/>
      <c r="K15" s="74"/>
      <c r="T15" s="46"/>
      <c r="U15" s="46"/>
      <c r="V15" s="46"/>
    </row>
    <row r="16" spans="1:27" x14ac:dyDescent="0.3">
      <c r="I16" s="75"/>
      <c r="J16" s="76"/>
      <c r="K16" s="77"/>
      <c r="T16" s="47">
        <v>4.7399999999999998E-2</v>
      </c>
      <c r="U16" s="47"/>
      <c r="V16" s="47"/>
    </row>
    <row r="17" spans="2:27" ht="14.4" customHeight="1" x14ac:dyDescent="0.3">
      <c r="I17" s="81" t="s">
        <v>10</v>
      </c>
      <c r="J17" s="81"/>
      <c r="K17" s="82"/>
      <c r="T17" s="47"/>
      <c r="U17" s="47"/>
      <c r="V17" s="47"/>
    </row>
    <row r="18" spans="2:27" x14ac:dyDescent="0.3">
      <c r="I18" s="81"/>
      <c r="J18" s="81"/>
      <c r="K18" s="82"/>
      <c r="T18" s="47"/>
      <c r="U18" s="47"/>
      <c r="V18" s="47"/>
    </row>
    <row r="19" spans="2:27" x14ac:dyDescent="0.3">
      <c r="I19" s="66">
        <v>0.32</v>
      </c>
      <c r="J19" s="67"/>
      <c r="K19" s="68"/>
      <c r="T19" s="26"/>
      <c r="U19" s="26"/>
      <c r="V19" s="26"/>
    </row>
    <row r="20" spans="2:27" x14ac:dyDescent="0.3">
      <c r="I20" s="69"/>
      <c r="J20" s="70"/>
      <c r="K20" s="71"/>
      <c r="T20" s="26"/>
      <c r="U20" s="26"/>
      <c r="V20" s="26"/>
    </row>
    <row r="21" spans="2:27" x14ac:dyDescent="0.3">
      <c r="T21" s="26"/>
      <c r="U21" s="26"/>
      <c r="V21" s="26"/>
    </row>
    <row r="23" spans="2:27" ht="14.4" customHeight="1" x14ac:dyDescent="0.3"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</row>
    <row r="24" spans="2:27" ht="14.4" customHeight="1" x14ac:dyDescent="0.3">
      <c r="B24" s="65" t="s">
        <v>39</v>
      </c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O24" s="48" t="s">
        <v>38</v>
      </c>
      <c r="P24" s="48"/>
      <c r="Q24" s="48"/>
      <c r="R24" s="48"/>
      <c r="S24" s="48"/>
      <c r="T24" s="48"/>
      <c r="U24" s="48"/>
      <c r="W24" s="48" t="s">
        <v>4</v>
      </c>
      <c r="X24" s="48"/>
      <c r="Y24" s="48"/>
      <c r="Z24" s="48"/>
      <c r="AA24" s="48"/>
    </row>
    <row r="25" spans="2:27" ht="14.4" customHeight="1" x14ac:dyDescent="0.3"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O25" s="48"/>
      <c r="P25" s="48"/>
      <c r="Q25" s="48"/>
      <c r="R25" s="48"/>
      <c r="S25" s="48"/>
      <c r="T25" s="48"/>
      <c r="U25" s="48"/>
      <c r="W25" s="48"/>
      <c r="X25" s="48"/>
      <c r="Y25" s="48"/>
      <c r="Z25" s="48"/>
      <c r="AA25" s="48"/>
    </row>
    <row r="26" spans="2:27" x14ac:dyDescent="0.3"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</row>
    <row r="27" spans="2:27" ht="14.4" customHeight="1" x14ac:dyDescent="0.3">
      <c r="L27" s="26"/>
      <c r="M27" s="26"/>
    </row>
    <row r="28" spans="2:27" x14ac:dyDescent="0.3">
      <c r="L28" s="26"/>
      <c r="M28" s="26"/>
    </row>
    <row r="29" spans="2:27" ht="55.2" customHeight="1" x14ac:dyDescent="0.3">
      <c r="L29" s="26"/>
      <c r="M29" s="26"/>
    </row>
    <row r="30" spans="2:27" x14ac:dyDescent="0.3">
      <c r="L30" s="26"/>
      <c r="M30" s="26"/>
    </row>
    <row r="31" spans="2:27" ht="14.4" customHeight="1" x14ac:dyDescent="0.3">
      <c r="L31" s="30"/>
      <c r="M31" s="30"/>
    </row>
    <row r="32" spans="2:27" x14ac:dyDescent="0.3">
      <c r="L32" s="30"/>
      <c r="M32" s="30"/>
    </row>
    <row r="33" spans="1:27" ht="14.4" customHeight="1" x14ac:dyDescent="0.3">
      <c r="L33" s="26"/>
      <c r="M33" s="26"/>
    </row>
    <row r="34" spans="1:27" x14ac:dyDescent="0.3">
      <c r="L34" s="26"/>
      <c r="M34" s="26"/>
    </row>
    <row r="35" spans="1:27" ht="41.4" customHeight="1" x14ac:dyDescent="0.3">
      <c r="L35" s="26"/>
      <c r="M35" s="26"/>
    </row>
    <row r="36" spans="1:27" x14ac:dyDescent="0.3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</row>
  </sheetData>
  <mergeCells count="25">
    <mergeCell ref="B24:M25"/>
    <mergeCell ref="I17:K18"/>
    <mergeCell ref="I19:K20"/>
    <mergeCell ref="L4:S5"/>
    <mergeCell ref="A4:H5"/>
    <mergeCell ref="O24:U25"/>
    <mergeCell ref="I11:K12"/>
    <mergeCell ref="I13:K14"/>
    <mergeCell ref="I15:K16"/>
    <mergeCell ref="W4:AA5"/>
    <mergeCell ref="W24:AA25"/>
    <mergeCell ref="T10:V12"/>
    <mergeCell ref="T13:V15"/>
    <mergeCell ref="T16:V18"/>
    <mergeCell ref="T19:V21"/>
    <mergeCell ref="T4:V6"/>
    <mergeCell ref="T7:V9"/>
    <mergeCell ref="I7:K8"/>
    <mergeCell ref="I9:K10"/>
    <mergeCell ref="L31:M32"/>
    <mergeCell ref="L33:M34"/>
    <mergeCell ref="L35:M35"/>
    <mergeCell ref="L27:M28"/>
    <mergeCell ref="L29:M30"/>
    <mergeCell ref="A1:AA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E1F53-9FF4-466C-8786-B0894A22310D}">
  <dimension ref="A2:H31"/>
  <sheetViews>
    <sheetView showGridLines="0" workbookViewId="0">
      <selection activeCell="A3" sqref="A3:B5"/>
    </sheetView>
  </sheetViews>
  <sheetFormatPr defaultRowHeight="14.4" x14ac:dyDescent="0.3"/>
  <cols>
    <col min="1" max="1" width="44.44140625" bestFit="1" customWidth="1"/>
    <col min="2" max="2" width="24.6640625" bestFit="1" customWidth="1"/>
    <col min="3" max="3" width="11.77734375" bestFit="1" customWidth="1"/>
    <col min="4" max="4" width="17.88671875" bestFit="1" customWidth="1"/>
    <col min="5" max="5" width="18.44140625" bestFit="1" customWidth="1"/>
    <col min="6" max="6" width="23.33203125" bestFit="1" customWidth="1"/>
    <col min="7" max="7" width="27.44140625" bestFit="1" customWidth="1"/>
    <col min="8" max="8" width="39.44140625" bestFit="1" customWidth="1"/>
    <col min="9" max="9" width="11.77734375" bestFit="1" customWidth="1"/>
    <col min="10" max="10" width="17.88671875" bestFit="1" customWidth="1"/>
    <col min="11" max="11" width="18.44140625" bestFit="1" customWidth="1"/>
    <col min="12" max="12" width="23.33203125" bestFit="1" customWidth="1"/>
    <col min="13" max="13" width="42.33203125" bestFit="1" customWidth="1"/>
    <col min="14" max="14" width="25.88671875" bestFit="1" customWidth="1"/>
    <col min="15" max="15" width="11.77734375" bestFit="1" customWidth="1"/>
    <col min="16" max="16" width="17.88671875" bestFit="1" customWidth="1"/>
    <col min="17" max="17" width="18.44140625" bestFit="1" customWidth="1"/>
    <col min="18" max="18" width="23.33203125" bestFit="1" customWidth="1"/>
    <col min="19" max="19" width="28.6640625" bestFit="1" customWidth="1"/>
    <col min="20" max="20" width="10.77734375" bestFit="1" customWidth="1"/>
  </cols>
  <sheetData>
    <row r="2" spans="1:8" ht="14.4" customHeight="1" x14ac:dyDescent="0.3">
      <c r="B2" s="95"/>
      <c r="C2" s="95"/>
      <c r="D2" s="95"/>
      <c r="E2" s="95"/>
      <c r="F2" s="95"/>
      <c r="G2" s="95"/>
      <c r="H2" s="95"/>
    </row>
    <row r="3" spans="1:8" x14ac:dyDescent="0.3">
      <c r="A3" s="27" t="s">
        <v>43</v>
      </c>
      <c r="B3" s="27"/>
      <c r="C3" s="95"/>
      <c r="D3" s="95"/>
      <c r="E3" s="95"/>
      <c r="F3" s="95"/>
      <c r="G3" s="95"/>
      <c r="H3" s="95"/>
    </row>
    <row r="4" spans="1:8" x14ac:dyDescent="0.3">
      <c r="A4" s="27"/>
      <c r="B4" s="27"/>
      <c r="C4" s="95"/>
      <c r="D4" s="95"/>
      <c r="E4" s="95"/>
      <c r="F4" s="95"/>
      <c r="G4" s="95"/>
      <c r="H4" s="95"/>
    </row>
    <row r="5" spans="1:8" x14ac:dyDescent="0.3">
      <c r="A5" s="27"/>
      <c r="B5" s="27"/>
      <c r="C5" s="95"/>
      <c r="D5" s="95"/>
      <c r="E5" s="95"/>
      <c r="F5" s="95"/>
      <c r="G5" s="95"/>
      <c r="H5" s="95"/>
    </row>
    <row r="6" spans="1:8" ht="386.4" customHeight="1" x14ac:dyDescent="0.3">
      <c r="A6" s="96" t="s">
        <v>42</v>
      </c>
      <c r="B6" s="96"/>
      <c r="C6" s="96"/>
      <c r="D6" s="96"/>
      <c r="E6" s="96"/>
      <c r="F6" s="96"/>
      <c r="G6" s="96"/>
      <c r="H6" s="96"/>
    </row>
    <row r="7" spans="1:8" x14ac:dyDescent="0.3">
      <c r="A7" s="96"/>
      <c r="B7" s="96"/>
      <c r="C7" s="96"/>
      <c r="D7" s="96"/>
      <c r="E7" s="96"/>
      <c r="F7" s="96"/>
      <c r="G7" s="96"/>
      <c r="H7" s="96"/>
    </row>
    <row r="8" spans="1:8" x14ac:dyDescent="0.3">
      <c r="A8" s="96"/>
      <c r="B8" s="96"/>
      <c r="C8" s="96"/>
      <c r="D8" s="96"/>
      <c r="E8" s="96"/>
      <c r="F8" s="96"/>
      <c r="G8" s="96"/>
      <c r="H8" s="96"/>
    </row>
    <row r="9" spans="1:8" x14ac:dyDescent="0.3">
      <c r="A9" s="96"/>
      <c r="B9" s="96"/>
      <c r="C9" s="96"/>
      <c r="D9" s="96"/>
      <c r="E9" s="96"/>
      <c r="F9" s="96"/>
      <c r="G9" s="96"/>
      <c r="H9" s="96"/>
    </row>
    <row r="10" spans="1:8" x14ac:dyDescent="0.3">
      <c r="A10" s="96"/>
      <c r="B10" s="96"/>
      <c r="C10" s="96"/>
      <c r="D10" s="96"/>
      <c r="E10" s="96"/>
      <c r="F10" s="96"/>
      <c r="G10" s="96"/>
      <c r="H10" s="96"/>
    </row>
    <row r="11" spans="1:8" x14ac:dyDescent="0.3">
      <c r="A11" s="96"/>
      <c r="B11" s="96"/>
      <c r="C11" s="96"/>
      <c r="D11" s="96"/>
      <c r="E11" s="96"/>
      <c r="F11" s="96"/>
      <c r="G11" s="96"/>
      <c r="H11" s="96"/>
    </row>
    <row r="12" spans="1:8" x14ac:dyDescent="0.3">
      <c r="A12" s="96"/>
      <c r="B12" s="96"/>
      <c r="C12" s="96"/>
      <c r="D12" s="96"/>
      <c r="E12" s="96"/>
      <c r="F12" s="96"/>
      <c r="G12" s="96"/>
      <c r="H12" s="96"/>
    </row>
    <row r="13" spans="1:8" x14ac:dyDescent="0.3">
      <c r="A13" s="96"/>
      <c r="B13" s="96"/>
      <c r="C13" s="96"/>
      <c r="D13" s="96"/>
      <c r="E13" s="96"/>
      <c r="F13" s="96"/>
      <c r="G13" s="96"/>
      <c r="H13" s="96"/>
    </row>
    <row r="14" spans="1:8" x14ac:dyDescent="0.3">
      <c r="A14" s="96"/>
      <c r="B14" s="96"/>
      <c r="C14" s="96"/>
      <c r="D14" s="96"/>
      <c r="E14" s="96"/>
      <c r="F14" s="96"/>
      <c r="G14" s="96"/>
      <c r="H14" s="96"/>
    </row>
    <row r="15" spans="1:8" x14ac:dyDescent="0.3">
      <c r="A15" s="96"/>
      <c r="B15" s="96"/>
      <c r="C15" s="96"/>
      <c r="D15" s="96"/>
      <c r="E15" s="96"/>
      <c r="F15" s="96"/>
      <c r="G15" s="96"/>
      <c r="H15" s="96"/>
    </row>
    <row r="16" spans="1:8" x14ac:dyDescent="0.3">
      <c r="A16" s="96"/>
      <c r="B16" s="96"/>
      <c r="C16" s="96"/>
      <c r="D16" s="96"/>
      <c r="E16" s="96"/>
      <c r="F16" s="96"/>
      <c r="G16" s="96"/>
      <c r="H16" s="96"/>
    </row>
    <row r="17" spans="1:8" x14ac:dyDescent="0.3">
      <c r="A17" s="96"/>
      <c r="B17" s="96"/>
      <c r="C17" s="96"/>
      <c r="D17" s="96"/>
      <c r="E17" s="96"/>
      <c r="F17" s="96"/>
      <c r="G17" s="96"/>
      <c r="H17" s="96"/>
    </row>
    <row r="18" spans="1:8" x14ac:dyDescent="0.3">
      <c r="A18" s="96"/>
      <c r="B18" s="96"/>
      <c r="C18" s="96"/>
      <c r="D18" s="96"/>
      <c r="E18" s="96"/>
      <c r="F18" s="96"/>
      <c r="G18" s="96"/>
      <c r="H18" s="96"/>
    </row>
    <row r="19" spans="1:8" x14ac:dyDescent="0.3">
      <c r="A19" s="96"/>
      <c r="B19" s="96"/>
      <c r="C19" s="96"/>
      <c r="D19" s="96"/>
      <c r="E19" s="96"/>
      <c r="F19" s="96"/>
      <c r="G19" s="96"/>
      <c r="H19" s="96"/>
    </row>
    <row r="20" spans="1:8" x14ac:dyDescent="0.3">
      <c r="A20" s="96"/>
      <c r="B20" s="96"/>
      <c r="C20" s="96"/>
      <c r="D20" s="96"/>
      <c r="E20" s="96"/>
      <c r="F20" s="96"/>
      <c r="G20" s="96"/>
      <c r="H20" s="96"/>
    </row>
    <row r="21" spans="1:8" x14ac:dyDescent="0.3">
      <c r="A21" s="96"/>
      <c r="B21" s="96"/>
      <c r="C21" s="96"/>
      <c r="D21" s="96"/>
      <c r="E21" s="96"/>
      <c r="F21" s="96"/>
      <c r="G21" s="96"/>
      <c r="H21" s="96"/>
    </row>
    <row r="22" spans="1:8" x14ac:dyDescent="0.3">
      <c r="A22" s="96"/>
      <c r="B22" s="96"/>
      <c r="C22" s="96"/>
      <c r="D22" s="96"/>
      <c r="E22" s="96"/>
      <c r="F22" s="96"/>
      <c r="G22" s="96"/>
      <c r="H22" s="96"/>
    </row>
    <row r="23" spans="1:8" x14ac:dyDescent="0.3">
      <c r="A23" s="96"/>
      <c r="B23" s="96"/>
      <c r="C23" s="96"/>
      <c r="D23" s="96"/>
      <c r="E23" s="96"/>
      <c r="F23" s="96"/>
      <c r="G23" s="96"/>
      <c r="H23" s="96"/>
    </row>
    <row r="24" spans="1:8" x14ac:dyDescent="0.3">
      <c r="A24" s="96"/>
      <c r="B24" s="96"/>
      <c r="C24" s="96"/>
      <c r="D24" s="96"/>
      <c r="E24" s="96"/>
      <c r="F24" s="96"/>
      <c r="G24" s="96"/>
      <c r="H24" s="96"/>
    </row>
    <row r="25" spans="1:8" x14ac:dyDescent="0.3">
      <c r="A25" s="96"/>
      <c r="B25" s="96"/>
      <c r="C25" s="96"/>
      <c r="D25" s="96"/>
      <c r="E25" s="96"/>
      <c r="F25" s="96"/>
      <c r="G25" s="96"/>
      <c r="H25" s="96"/>
    </row>
    <row r="26" spans="1:8" x14ac:dyDescent="0.3">
      <c r="A26" s="96"/>
      <c r="B26" s="96"/>
      <c r="C26" s="96"/>
      <c r="D26" s="96"/>
      <c r="E26" s="96"/>
      <c r="F26" s="96"/>
      <c r="G26" s="96"/>
      <c r="H26" s="96"/>
    </row>
    <row r="27" spans="1:8" x14ac:dyDescent="0.3">
      <c r="A27" s="96"/>
      <c r="B27" s="96"/>
      <c r="C27" s="96"/>
      <c r="D27" s="96"/>
      <c r="E27" s="96"/>
      <c r="F27" s="96"/>
      <c r="G27" s="96"/>
      <c r="H27" s="96"/>
    </row>
    <row r="28" spans="1:8" x14ac:dyDescent="0.3">
      <c r="A28" s="96"/>
      <c r="B28" s="96"/>
      <c r="C28" s="96"/>
      <c r="D28" s="96"/>
      <c r="E28" s="96"/>
      <c r="F28" s="96"/>
      <c r="G28" s="96"/>
      <c r="H28" s="96"/>
    </row>
    <row r="29" spans="1:8" x14ac:dyDescent="0.3">
      <c r="A29" s="96"/>
      <c r="B29" s="96"/>
      <c r="C29" s="96"/>
      <c r="D29" s="96"/>
      <c r="E29" s="96"/>
      <c r="F29" s="96"/>
      <c r="G29" s="96"/>
      <c r="H29" s="96"/>
    </row>
    <row r="30" spans="1:8" x14ac:dyDescent="0.3">
      <c r="A30" s="96"/>
      <c r="B30" s="96"/>
      <c r="C30" s="96"/>
      <c r="D30" s="96"/>
      <c r="E30" s="96"/>
      <c r="F30" s="96"/>
      <c r="G30" s="96"/>
      <c r="H30" s="96"/>
    </row>
    <row r="31" spans="1:8" x14ac:dyDescent="0.3">
      <c r="A31" s="96"/>
      <c r="B31" s="96"/>
      <c r="C31" s="96"/>
      <c r="D31" s="96"/>
      <c r="E31" s="96"/>
      <c r="F31" s="96"/>
      <c r="G31" s="96"/>
      <c r="H31" s="96"/>
    </row>
  </sheetData>
  <mergeCells count="2">
    <mergeCell ref="A6:H31"/>
    <mergeCell ref="A3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40FB9-C79B-40F1-85A0-9E8C814DA09F}">
  <dimension ref="A2:N202"/>
  <sheetViews>
    <sheetView topLeftCell="A14" workbookViewId="0">
      <selection activeCell="A24" sqref="A24:B28"/>
    </sheetView>
  </sheetViews>
  <sheetFormatPr defaultRowHeight="14.4" x14ac:dyDescent="0.3"/>
  <cols>
    <col min="1" max="1" width="22.6640625" bestFit="1" customWidth="1"/>
    <col min="2" max="2" width="31" bestFit="1" customWidth="1"/>
    <col min="4" max="4" width="45.33203125" bestFit="1" customWidth="1"/>
    <col min="5" max="5" width="3.44140625" bestFit="1" customWidth="1"/>
  </cols>
  <sheetData>
    <row r="2" spans="1:14" x14ac:dyDescent="0.3">
      <c r="A2" s="20" t="s">
        <v>3</v>
      </c>
      <c r="B2" s="20" t="s">
        <v>26</v>
      </c>
      <c r="D2" s="3" t="s">
        <v>3</v>
      </c>
      <c r="E2" s="3" t="s">
        <v>4</v>
      </c>
      <c r="F2" s="3" t="s">
        <v>5</v>
      </c>
      <c r="G2" s="3" t="s">
        <v>15</v>
      </c>
    </row>
    <row r="3" spans="1:14" x14ac:dyDescent="0.3">
      <c r="A3" s="18" t="s">
        <v>8</v>
      </c>
      <c r="B3" s="18">
        <v>40</v>
      </c>
      <c r="D3" s="2" t="s">
        <v>8</v>
      </c>
      <c r="E3" s="2" t="s">
        <v>7</v>
      </c>
      <c r="F3" s="2" t="s">
        <v>12</v>
      </c>
      <c r="G3" s="15">
        <v>0.01</v>
      </c>
    </row>
    <row r="4" spans="1:14" x14ac:dyDescent="0.3">
      <c r="A4" s="18" t="s">
        <v>2</v>
      </c>
      <c r="B4" s="18">
        <v>52</v>
      </c>
      <c r="D4" s="2" t="s">
        <v>8</v>
      </c>
      <c r="E4" s="2" t="s">
        <v>7</v>
      </c>
      <c r="F4" s="2" t="s">
        <v>12</v>
      </c>
      <c r="G4" s="15">
        <v>0.01</v>
      </c>
    </row>
    <row r="5" spans="1:14" x14ac:dyDescent="0.3">
      <c r="A5" s="18" t="s">
        <v>0</v>
      </c>
      <c r="B5" s="18">
        <v>78</v>
      </c>
      <c r="D5" s="1" t="s">
        <v>8</v>
      </c>
      <c r="E5" s="1" t="s">
        <v>7</v>
      </c>
      <c r="F5" s="1" t="s">
        <v>12</v>
      </c>
      <c r="G5" s="14">
        <v>0.02</v>
      </c>
    </row>
    <row r="6" spans="1:14" x14ac:dyDescent="0.3">
      <c r="A6" s="18" t="s">
        <v>1</v>
      </c>
      <c r="B6" s="18">
        <v>30</v>
      </c>
      <c r="D6" s="2" t="s">
        <v>8</v>
      </c>
      <c r="E6" s="2" t="s">
        <v>7</v>
      </c>
      <c r="F6" s="2" t="s">
        <v>12</v>
      </c>
      <c r="G6" s="15">
        <v>0.03</v>
      </c>
    </row>
    <row r="7" spans="1:14" ht="15" thickBot="1" x14ac:dyDescent="0.35">
      <c r="A7" s="20" t="s">
        <v>17</v>
      </c>
      <c r="B7" s="20">
        <f>SUM(B3:B6)</f>
        <v>200</v>
      </c>
      <c r="D7" s="1" t="s">
        <v>8</v>
      </c>
      <c r="E7" s="1" t="s">
        <v>7</v>
      </c>
      <c r="F7" s="1" t="s">
        <v>14</v>
      </c>
      <c r="G7" s="14">
        <v>0.01</v>
      </c>
    </row>
    <row r="8" spans="1:14" ht="15" thickBot="1" x14ac:dyDescent="0.35">
      <c r="D8" s="2" t="s">
        <v>8</v>
      </c>
      <c r="E8" s="2" t="s">
        <v>7</v>
      </c>
      <c r="F8" s="2" t="s">
        <v>14</v>
      </c>
      <c r="G8" s="15">
        <v>0.01</v>
      </c>
      <c r="K8" s="33"/>
      <c r="L8" s="33"/>
      <c r="M8" s="33"/>
      <c r="N8" s="34"/>
    </row>
    <row r="9" spans="1:14" ht="15" thickBot="1" x14ac:dyDescent="0.35">
      <c r="A9" s="20" t="s">
        <v>27</v>
      </c>
      <c r="B9" s="20" t="s">
        <v>20</v>
      </c>
      <c r="D9" s="2" t="s">
        <v>8</v>
      </c>
      <c r="E9" s="2" t="s">
        <v>7</v>
      </c>
      <c r="F9" s="2" t="s">
        <v>14</v>
      </c>
      <c r="G9" s="15">
        <v>0.04</v>
      </c>
      <c r="K9" s="33"/>
      <c r="L9" s="35"/>
      <c r="M9" s="35"/>
      <c r="N9" s="36"/>
    </row>
    <row r="10" spans="1:14" ht="15" thickBot="1" x14ac:dyDescent="0.35">
      <c r="A10" s="18" t="s">
        <v>10</v>
      </c>
      <c r="B10" s="19">
        <v>0.32</v>
      </c>
      <c r="D10" s="2" t="s">
        <v>8</v>
      </c>
      <c r="E10" s="2" t="s">
        <v>7</v>
      </c>
      <c r="F10" s="2" t="s">
        <v>14</v>
      </c>
      <c r="G10" s="15">
        <v>0.04</v>
      </c>
      <c r="K10" s="33"/>
      <c r="L10" s="35"/>
      <c r="M10" s="35"/>
      <c r="N10" s="36"/>
    </row>
    <row r="11" spans="1:14" ht="15" thickBot="1" x14ac:dyDescent="0.35">
      <c r="A11" s="18" t="s">
        <v>7</v>
      </c>
      <c r="B11" s="19">
        <v>0.35</v>
      </c>
      <c r="D11" s="1" t="s">
        <v>8</v>
      </c>
      <c r="E11" s="1" t="s">
        <v>7</v>
      </c>
      <c r="F11" s="1" t="s">
        <v>14</v>
      </c>
      <c r="G11" s="14">
        <v>0.05</v>
      </c>
      <c r="K11" s="33"/>
      <c r="L11" s="35"/>
      <c r="M11" s="35"/>
      <c r="N11" s="36"/>
    </row>
    <row r="12" spans="1:14" ht="15" thickBot="1" x14ac:dyDescent="0.35">
      <c r="A12" s="18" t="s">
        <v>11</v>
      </c>
      <c r="B12" s="19">
        <v>0.67</v>
      </c>
      <c r="D12" s="1" t="s">
        <v>8</v>
      </c>
      <c r="E12" s="1" t="s">
        <v>7</v>
      </c>
      <c r="F12" s="1" t="s">
        <v>13</v>
      </c>
      <c r="G12" s="14">
        <v>0.02</v>
      </c>
      <c r="K12" s="33"/>
      <c r="L12" s="35"/>
      <c r="M12" s="35"/>
      <c r="N12" s="36"/>
    </row>
    <row r="13" spans="1:14" ht="15" thickBot="1" x14ac:dyDescent="0.35">
      <c r="A13" s="18" t="s">
        <v>9</v>
      </c>
      <c r="B13" s="19">
        <v>0.84</v>
      </c>
      <c r="D13" s="2" t="s">
        <v>8</v>
      </c>
      <c r="E13" s="2" t="s">
        <v>7</v>
      </c>
      <c r="F13" s="2" t="s">
        <v>13</v>
      </c>
      <c r="G13" s="15">
        <v>0.02</v>
      </c>
      <c r="K13" s="33"/>
      <c r="L13" s="35"/>
      <c r="M13" s="35"/>
      <c r="N13" s="36"/>
    </row>
    <row r="14" spans="1:14" ht="15" thickBot="1" x14ac:dyDescent="0.35">
      <c r="A14" s="18" t="s">
        <v>6</v>
      </c>
      <c r="B14" s="19">
        <v>0.93</v>
      </c>
      <c r="D14" s="2" t="s">
        <v>8</v>
      </c>
      <c r="E14" s="2" t="s">
        <v>7</v>
      </c>
      <c r="F14" s="2" t="s">
        <v>13</v>
      </c>
      <c r="G14" s="15">
        <v>0.03</v>
      </c>
      <c r="K14" s="33"/>
      <c r="L14" s="35"/>
      <c r="M14" s="35"/>
      <c r="N14" s="36"/>
    </row>
    <row r="15" spans="1:14" ht="15" thickBot="1" x14ac:dyDescent="0.35">
      <c r="A15" s="21"/>
      <c r="B15" s="22"/>
      <c r="D15" s="2" t="s">
        <v>8</v>
      </c>
      <c r="E15" s="2" t="s">
        <v>7</v>
      </c>
      <c r="F15" s="2" t="s">
        <v>13</v>
      </c>
      <c r="G15" s="15">
        <v>0.03</v>
      </c>
      <c r="K15" s="33"/>
      <c r="L15" s="35"/>
      <c r="M15" s="35"/>
      <c r="N15" s="36"/>
    </row>
    <row r="16" spans="1:14" ht="15" thickBot="1" x14ac:dyDescent="0.35">
      <c r="A16" s="20" t="s">
        <v>26</v>
      </c>
      <c r="B16" s="20" t="s">
        <v>18</v>
      </c>
      <c r="D16" s="2" t="s">
        <v>8</v>
      </c>
      <c r="E16" s="2" t="s">
        <v>7</v>
      </c>
      <c r="F16" s="2" t="s">
        <v>13</v>
      </c>
      <c r="G16" s="15">
        <v>0.03</v>
      </c>
      <c r="K16" s="33"/>
      <c r="L16" s="35"/>
      <c r="M16" s="35"/>
      <c r="N16" s="36"/>
    </row>
    <row r="17" spans="1:7" x14ac:dyDescent="0.3">
      <c r="A17" s="18" t="s">
        <v>7</v>
      </c>
      <c r="B17" s="24">
        <v>1.14E-2</v>
      </c>
      <c r="D17" s="1" t="s">
        <v>8</v>
      </c>
      <c r="E17" s="1" t="s">
        <v>7</v>
      </c>
      <c r="F17" s="1" t="s">
        <v>13</v>
      </c>
      <c r="G17" s="14">
        <v>0.03</v>
      </c>
    </row>
    <row r="18" spans="1:7" x14ac:dyDescent="0.3">
      <c r="A18" s="18" t="s">
        <v>10</v>
      </c>
      <c r="B18" s="24">
        <v>1.38E-2</v>
      </c>
      <c r="D18" s="2" t="s">
        <v>8</v>
      </c>
      <c r="E18" s="2" t="s">
        <v>11</v>
      </c>
      <c r="F18" s="2" t="s">
        <v>12</v>
      </c>
      <c r="G18" s="15">
        <v>0.02</v>
      </c>
    </row>
    <row r="19" spans="1:7" x14ac:dyDescent="0.3">
      <c r="A19" s="18" t="s">
        <v>11</v>
      </c>
      <c r="B19" s="24">
        <v>2.1899999999999999E-2</v>
      </c>
      <c r="D19" s="2" t="s">
        <v>8</v>
      </c>
      <c r="E19" s="2" t="s">
        <v>11</v>
      </c>
      <c r="F19" s="2" t="s">
        <v>12</v>
      </c>
      <c r="G19" s="15">
        <v>0.04</v>
      </c>
    </row>
    <row r="20" spans="1:7" x14ac:dyDescent="0.3">
      <c r="A20" s="18" t="s">
        <v>9</v>
      </c>
      <c r="B20" s="24">
        <v>2.7400000000000001E-2</v>
      </c>
      <c r="D20" s="1" t="s">
        <v>8</v>
      </c>
      <c r="E20" s="1" t="s">
        <v>11</v>
      </c>
      <c r="F20" s="1" t="s">
        <v>12</v>
      </c>
      <c r="G20" s="14">
        <v>0.05</v>
      </c>
    </row>
    <row r="21" spans="1:7" x14ac:dyDescent="0.3">
      <c r="A21" s="18" t="s">
        <v>6</v>
      </c>
      <c r="B21" s="24">
        <v>4.7399999999999998E-2</v>
      </c>
      <c r="D21" s="2" t="s">
        <v>8</v>
      </c>
      <c r="E21" s="2" t="s">
        <v>11</v>
      </c>
      <c r="F21" s="2" t="s">
        <v>14</v>
      </c>
      <c r="G21" s="15">
        <v>0.01</v>
      </c>
    </row>
    <row r="22" spans="1:7" x14ac:dyDescent="0.3">
      <c r="A22" s="18"/>
      <c r="B22" s="18"/>
      <c r="D22" s="1" t="s">
        <v>8</v>
      </c>
      <c r="E22" s="1" t="s">
        <v>11</v>
      </c>
      <c r="F22" s="1" t="s">
        <v>14</v>
      </c>
      <c r="G22" s="14">
        <v>0.02</v>
      </c>
    </row>
    <row r="23" spans="1:7" x14ac:dyDescent="0.3">
      <c r="A23" s="20" t="s">
        <v>24</v>
      </c>
      <c r="B23" s="20" t="s">
        <v>25</v>
      </c>
      <c r="D23" s="1" t="s">
        <v>8</v>
      </c>
      <c r="E23" s="1" t="s">
        <v>11</v>
      </c>
      <c r="F23" s="1" t="s">
        <v>13</v>
      </c>
      <c r="G23" s="14">
        <v>0.01</v>
      </c>
    </row>
    <row r="24" spans="1:7" x14ac:dyDescent="0.3">
      <c r="A24" s="18" t="s">
        <v>10</v>
      </c>
      <c r="B24" s="25">
        <v>2.6</v>
      </c>
      <c r="D24" s="2" t="s">
        <v>8</v>
      </c>
      <c r="E24" s="2" t="s">
        <v>11</v>
      </c>
      <c r="F24" s="2" t="s">
        <v>13</v>
      </c>
      <c r="G24" s="15">
        <v>0.03</v>
      </c>
    </row>
    <row r="25" spans="1:7" x14ac:dyDescent="0.3">
      <c r="A25" s="18" t="s">
        <v>7</v>
      </c>
      <c r="B25" s="25">
        <v>2.4900000000000002</v>
      </c>
      <c r="D25" s="2" t="s">
        <v>8</v>
      </c>
      <c r="E25" s="2" t="s">
        <v>11</v>
      </c>
      <c r="F25" s="2" t="s">
        <v>13</v>
      </c>
      <c r="G25" s="15">
        <v>0.03</v>
      </c>
    </row>
    <row r="26" spans="1:7" x14ac:dyDescent="0.3">
      <c r="A26" s="18" t="s">
        <v>9</v>
      </c>
      <c r="B26" s="25">
        <v>1.97</v>
      </c>
      <c r="D26" s="1" t="s">
        <v>8</v>
      </c>
      <c r="E26" s="1" t="s">
        <v>11</v>
      </c>
      <c r="F26" s="1" t="s">
        <v>13</v>
      </c>
      <c r="G26" s="14">
        <v>0.05</v>
      </c>
    </row>
    <row r="27" spans="1:7" x14ac:dyDescent="0.3">
      <c r="A27" s="18" t="s">
        <v>11</v>
      </c>
      <c r="B27" s="25">
        <v>1.35</v>
      </c>
      <c r="D27" s="2" t="s">
        <v>8</v>
      </c>
      <c r="E27" s="2" t="s">
        <v>9</v>
      </c>
      <c r="F27" s="2" t="s">
        <v>12</v>
      </c>
      <c r="G27" s="15">
        <v>0.05</v>
      </c>
    </row>
    <row r="28" spans="1:7" x14ac:dyDescent="0.3">
      <c r="A28" s="18" t="s">
        <v>6</v>
      </c>
      <c r="B28" s="25">
        <v>0.64</v>
      </c>
      <c r="D28" s="1" t="s">
        <v>8</v>
      </c>
      <c r="E28" s="1" t="s">
        <v>9</v>
      </c>
      <c r="F28" s="1" t="s">
        <v>14</v>
      </c>
      <c r="G28" s="14">
        <v>0.01</v>
      </c>
    </row>
    <row r="29" spans="1:7" x14ac:dyDescent="0.3">
      <c r="A29" s="18"/>
      <c r="B29" s="18"/>
      <c r="D29" s="2" t="s">
        <v>8</v>
      </c>
      <c r="E29" s="2" t="s">
        <v>9</v>
      </c>
      <c r="F29" s="2" t="s">
        <v>14</v>
      </c>
      <c r="G29" s="15">
        <v>0.03</v>
      </c>
    </row>
    <row r="30" spans="1:7" x14ac:dyDescent="0.3">
      <c r="A30" s="17" t="s">
        <v>23</v>
      </c>
      <c r="B30" s="17" t="s">
        <v>29</v>
      </c>
      <c r="D30" s="2" t="s">
        <v>8</v>
      </c>
      <c r="E30" s="2" t="s">
        <v>9</v>
      </c>
      <c r="F30" s="2" t="s">
        <v>14</v>
      </c>
      <c r="G30" s="15">
        <v>0.03</v>
      </c>
    </row>
    <row r="31" spans="1:7" x14ac:dyDescent="0.3">
      <c r="A31" s="18" t="s">
        <v>35</v>
      </c>
      <c r="B31" s="23">
        <v>0.17</v>
      </c>
      <c r="D31" s="2" t="s">
        <v>8</v>
      </c>
      <c r="E31" s="2" t="s">
        <v>9</v>
      </c>
      <c r="F31" s="2" t="s">
        <v>14</v>
      </c>
      <c r="G31" s="15">
        <v>0.04</v>
      </c>
    </row>
    <row r="32" spans="1:7" x14ac:dyDescent="0.3">
      <c r="A32" s="18" t="s">
        <v>2</v>
      </c>
      <c r="B32" s="23">
        <v>0.11</v>
      </c>
      <c r="D32" s="1" t="s">
        <v>8</v>
      </c>
      <c r="E32" s="1" t="s">
        <v>9</v>
      </c>
      <c r="F32" s="1" t="s">
        <v>13</v>
      </c>
      <c r="G32" s="14">
        <v>0.04</v>
      </c>
    </row>
    <row r="33" spans="1:7" x14ac:dyDescent="0.3">
      <c r="A33" s="18" t="s">
        <v>0</v>
      </c>
      <c r="B33" s="23">
        <v>0.47</v>
      </c>
      <c r="D33" s="2" t="s">
        <v>8</v>
      </c>
      <c r="E33" s="2" t="s">
        <v>10</v>
      </c>
      <c r="F33" s="2" t="s">
        <v>12</v>
      </c>
      <c r="G33" s="15">
        <v>0.05</v>
      </c>
    </row>
    <row r="34" spans="1:7" x14ac:dyDescent="0.3">
      <c r="A34" s="18" t="s">
        <v>1</v>
      </c>
      <c r="B34" s="23">
        <v>0.25</v>
      </c>
      <c r="D34" s="2" t="s">
        <v>8</v>
      </c>
      <c r="E34" s="2" t="s">
        <v>10</v>
      </c>
      <c r="F34" s="2" t="s">
        <v>14</v>
      </c>
      <c r="G34" s="15">
        <v>0.01</v>
      </c>
    </row>
    <row r="35" spans="1:7" x14ac:dyDescent="0.3">
      <c r="A35" s="12"/>
      <c r="B35" s="13">
        <f>SUM(B31:B34)</f>
        <v>1</v>
      </c>
      <c r="D35" s="1" t="s">
        <v>8</v>
      </c>
      <c r="E35" s="1" t="s">
        <v>10</v>
      </c>
      <c r="F35" s="1" t="s">
        <v>14</v>
      </c>
      <c r="G35" s="14">
        <v>0.02</v>
      </c>
    </row>
    <row r="36" spans="1:7" x14ac:dyDescent="0.3">
      <c r="A36" s="17" t="s">
        <v>24</v>
      </c>
      <c r="B36" s="17" t="s">
        <v>21</v>
      </c>
      <c r="D36" s="1" t="s">
        <v>8</v>
      </c>
      <c r="E36" s="1" t="s">
        <v>10</v>
      </c>
      <c r="F36" s="1" t="s">
        <v>14</v>
      </c>
      <c r="G36" s="14">
        <v>0.04</v>
      </c>
    </row>
    <row r="37" spans="1:7" x14ac:dyDescent="0.3">
      <c r="A37" s="43" t="s">
        <v>7</v>
      </c>
      <c r="B37" s="19">
        <v>0.22</v>
      </c>
      <c r="D37" s="1" t="s">
        <v>8</v>
      </c>
      <c r="E37" s="1" t="s">
        <v>10</v>
      </c>
      <c r="F37" s="1" t="s">
        <v>14</v>
      </c>
      <c r="G37" s="14">
        <v>0.05</v>
      </c>
    </row>
    <row r="38" spans="1:7" x14ac:dyDescent="0.3">
      <c r="A38" s="43" t="s">
        <v>11</v>
      </c>
      <c r="B38" s="19">
        <v>0.08</v>
      </c>
      <c r="D38" s="2" t="s">
        <v>8</v>
      </c>
      <c r="E38" s="2" t="s">
        <v>10</v>
      </c>
      <c r="F38" s="2" t="s">
        <v>13</v>
      </c>
      <c r="G38" s="15">
        <v>0.05</v>
      </c>
    </row>
    <row r="39" spans="1:7" x14ac:dyDescent="0.3">
      <c r="A39" s="43" t="s">
        <v>9</v>
      </c>
      <c r="B39" s="19">
        <v>0.16500000000000001</v>
      </c>
      <c r="D39" s="2" t="s">
        <v>8</v>
      </c>
      <c r="E39" s="2" t="s">
        <v>6</v>
      </c>
      <c r="F39" s="2" t="s">
        <v>12</v>
      </c>
      <c r="G39" s="15">
        <v>0.03</v>
      </c>
    </row>
    <row r="40" spans="1:7" x14ac:dyDescent="0.3">
      <c r="A40" s="43" t="s">
        <v>10</v>
      </c>
      <c r="B40" s="19">
        <v>0.11</v>
      </c>
      <c r="D40" s="1" t="s">
        <v>8</v>
      </c>
      <c r="E40" s="1" t="s">
        <v>6</v>
      </c>
      <c r="F40" s="1" t="s">
        <v>12</v>
      </c>
      <c r="G40" s="14">
        <v>0.03</v>
      </c>
    </row>
    <row r="41" spans="1:7" x14ac:dyDescent="0.3">
      <c r="A41" s="43" t="s">
        <v>6</v>
      </c>
      <c r="B41" s="19">
        <v>0.42</v>
      </c>
      <c r="D41" s="2" t="s">
        <v>8</v>
      </c>
      <c r="E41" s="2" t="s">
        <v>6</v>
      </c>
      <c r="F41" s="2" t="s">
        <v>12</v>
      </c>
      <c r="G41" s="15">
        <v>0.04</v>
      </c>
    </row>
    <row r="42" spans="1:7" x14ac:dyDescent="0.3">
      <c r="A42" s="43" t="s">
        <v>17</v>
      </c>
      <c r="B42" s="19">
        <f>SUM(B37:B41)</f>
        <v>0.99499999999999988</v>
      </c>
      <c r="D42" s="1" t="s">
        <v>8</v>
      </c>
      <c r="E42" s="1" t="s">
        <v>6</v>
      </c>
      <c r="F42" s="1" t="s">
        <v>12</v>
      </c>
      <c r="G42" s="14">
        <v>0.04</v>
      </c>
    </row>
    <row r="43" spans="1:7" x14ac:dyDescent="0.3">
      <c r="D43" s="2" t="s">
        <v>8</v>
      </c>
      <c r="E43" s="2" t="s">
        <v>6</v>
      </c>
      <c r="F43" s="2" t="s">
        <v>12</v>
      </c>
      <c r="G43" s="15">
        <v>0.05</v>
      </c>
    </row>
    <row r="44" spans="1:7" x14ac:dyDescent="0.3">
      <c r="A44" t="s">
        <v>23</v>
      </c>
      <c r="B44" t="s">
        <v>22</v>
      </c>
      <c r="D44" s="1" t="s">
        <v>8</v>
      </c>
      <c r="E44" s="1" t="s">
        <v>6</v>
      </c>
      <c r="F44" s="1" t="s">
        <v>14</v>
      </c>
      <c r="G44" s="14">
        <v>0.01</v>
      </c>
    </row>
    <row r="45" spans="1:7" x14ac:dyDescent="0.3">
      <c r="A45" t="s">
        <v>12</v>
      </c>
      <c r="B45" s="16">
        <v>0.28999999999999998</v>
      </c>
      <c r="D45" s="2" t="s">
        <v>8</v>
      </c>
      <c r="E45" s="2" t="s">
        <v>6</v>
      </c>
      <c r="F45" s="2" t="s">
        <v>14</v>
      </c>
      <c r="G45" s="15">
        <v>0.01</v>
      </c>
    </row>
    <row r="46" spans="1:7" x14ac:dyDescent="0.3">
      <c r="A46" t="s">
        <v>14</v>
      </c>
      <c r="B46" s="16">
        <v>0.16</v>
      </c>
      <c r="D46" s="2" t="s">
        <v>8</v>
      </c>
      <c r="E46" s="2" t="s">
        <v>6</v>
      </c>
      <c r="F46" s="2" t="s">
        <v>14</v>
      </c>
      <c r="G46" s="15">
        <v>0.03</v>
      </c>
    </row>
    <row r="47" spans="1:7" x14ac:dyDescent="0.3">
      <c r="A47" t="s">
        <v>13</v>
      </c>
      <c r="B47" s="16">
        <v>0.55000000000000004</v>
      </c>
      <c r="D47" s="1" t="s">
        <v>8</v>
      </c>
      <c r="E47" s="1" t="s">
        <v>6</v>
      </c>
      <c r="F47" s="1" t="s">
        <v>14</v>
      </c>
      <c r="G47" s="14">
        <v>0.04</v>
      </c>
    </row>
    <row r="48" spans="1:7" x14ac:dyDescent="0.3">
      <c r="B48" s="16">
        <f>SUM(B45:B47)</f>
        <v>1</v>
      </c>
      <c r="D48" s="2" t="s">
        <v>8</v>
      </c>
      <c r="E48" s="2" t="s">
        <v>6</v>
      </c>
      <c r="F48" s="2" t="s">
        <v>14</v>
      </c>
      <c r="G48" s="15">
        <v>0.05</v>
      </c>
    </row>
    <row r="49" spans="4:7" x14ac:dyDescent="0.3">
      <c r="D49" s="2" t="s">
        <v>8</v>
      </c>
      <c r="E49" s="2" t="s">
        <v>6</v>
      </c>
      <c r="F49" s="2" t="s">
        <v>13</v>
      </c>
      <c r="G49" s="15">
        <v>0.02</v>
      </c>
    </row>
    <row r="50" spans="4:7" x14ac:dyDescent="0.3">
      <c r="D50" s="1" t="s">
        <v>8</v>
      </c>
      <c r="E50" s="1" t="s">
        <v>6</v>
      </c>
      <c r="F50" s="1" t="s">
        <v>13</v>
      </c>
      <c r="G50" s="14">
        <v>0.03</v>
      </c>
    </row>
    <row r="51" spans="4:7" x14ac:dyDescent="0.3">
      <c r="D51" s="2" t="s">
        <v>8</v>
      </c>
      <c r="E51" s="2" t="s">
        <v>6</v>
      </c>
      <c r="F51" s="2" t="s">
        <v>13</v>
      </c>
      <c r="G51" s="15">
        <v>0.03</v>
      </c>
    </row>
    <row r="52" spans="4:7" x14ac:dyDescent="0.3">
      <c r="D52" s="2" t="s">
        <v>8</v>
      </c>
      <c r="E52" s="2" t="s">
        <v>6</v>
      </c>
      <c r="F52" s="2" t="s">
        <v>13</v>
      </c>
      <c r="G52" s="15">
        <v>0.05</v>
      </c>
    </row>
    <row r="53" spans="4:7" x14ac:dyDescent="0.3">
      <c r="D53" s="2" t="s">
        <v>8</v>
      </c>
      <c r="E53" s="2" t="s">
        <v>6</v>
      </c>
      <c r="F53" s="2" t="s">
        <v>13</v>
      </c>
      <c r="G53" s="15">
        <v>0.05</v>
      </c>
    </row>
    <row r="54" spans="4:7" x14ac:dyDescent="0.3">
      <c r="D54" s="2" t="s">
        <v>2</v>
      </c>
      <c r="E54" s="2" t="s">
        <v>7</v>
      </c>
      <c r="F54" s="2" t="s">
        <v>12</v>
      </c>
      <c r="G54" s="15">
        <v>0.02</v>
      </c>
    </row>
    <row r="55" spans="4:7" x14ac:dyDescent="0.3">
      <c r="D55" s="1" t="s">
        <v>2</v>
      </c>
      <c r="E55" s="1" t="s">
        <v>7</v>
      </c>
      <c r="F55" s="1" t="s">
        <v>12</v>
      </c>
      <c r="G55" s="14">
        <v>0.03</v>
      </c>
    </row>
    <row r="56" spans="4:7" x14ac:dyDescent="0.3">
      <c r="D56" s="2" t="s">
        <v>2</v>
      </c>
      <c r="E56" s="2" t="s">
        <v>7</v>
      </c>
      <c r="F56" s="2" t="s">
        <v>12</v>
      </c>
      <c r="G56" s="15">
        <v>0.04</v>
      </c>
    </row>
    <row r="57" spans="4:7" x14ac:dyDescent="0.3">
      <c r="D57" s="1" t="s">
        <v>2</v>
      </c>
      <c r="E57" s="1" t="s">
        <v>7</v>
      </c>
      <c r="F57" s="1" t="s">
        <v>12</v>
      </c>
      <c r="G57" s="14">
        <v>0.04</v>
      </c>
    </row>
    <row r="58" spans="4:7" x14ac:dyDescent="0.3">
      <c r="D58" s="2" t="s">
        <v>2</v>
      </c>
      <c r="E58" s="2" t="s">
        <v>7</v>
      </c>
      <c r="F58" s="2" t="s">
        <v>12</v>
      </c>
      <c r="G58" s="15">
        <v>0.05</v>
      </c>
    </row>
    <row r="59" spans="4:7" x14ac:dyDescent="0.3">
      <c r="D59" s="1" t="s">
        <v>2</v>
      </c>
      <c r="E59" s="1" t="s">
        <v>7</v>
      </c>
      <c r="F59" s="1" t="s">
        <v>14</v>
      </c>
      <c r="G59" s="14">
        <v>0.01</v>
      </c>
    </row>
    <row r="60" spans="4:7" x14ac:dyDescent="0.3">
      <c r="D60" s="1" t="s">
        <v>2</v>
      </c>
      <c r="E60" s="1" t="s">
        <v>7</v>
      </c>
      <c r="F60" s="1" t="s">
        <v>14</v>
      </c>
      <c r="G60" s="14">
        <v>0.01</v>
      </c>
    </row>
    <row r="61" spans="4:7" x14ac:dyDescent="0.3">
      <c r="D61" s="1" t="s">
        <v>2</v>
      </c>
      <c r="E61" s="1" t="s">
        <v>7</v>
      </c>
      <c r="F61" s="1" t="s">
        <v>14</v>
      </c>
      <c r="G61" s="14">
        <v>0.03</v>
      </c>
    </row>
    <row r="62" spans="4:7" x14ac:dyDescent="0.3">
      <c r="D62" s="2" t="s">
        <v>2</v>
      </c>
      <c r="E62" s="2" t="s">
        <v>7</v>
      </c>
      <c r="F62" s="2" t="s">
        <v>14</v>
      </c>
      <c r="G62" s="15">
        <v>0.05</v>
      </c>
    </row>
    <row r="63" spans="4:7" x14ac:dyDescent="0.3">
      <c r="D63" s="1" t="s">
        <v>2</v>
      </c>
      <c r="E63" s="1" t="s">
        <v>7</v>
      </c>
      <c r="F63" s="1" t="s">
        <v>13</v>
      </c>
      <c r="G63" s="14">
        <v>0.01</v>
      </c>
    </row>
    <row r="64" spans="4:7" x14ac:dyDescent="0.3">
      <c r="D64" s="1" t="s">
        <v>2</v>
      </c>
      <c r="E64" s="1" t="s">
        <v>7</v>
      </c>
      <c r="F64" s="1" t="s">
        <v>13</v>
      </c>
      <c r="G64" s="14">
        <v>0.02</v>
      </c>
    </row>
    <row r="65" spans="4:7" x14ac:dyDescent="0.3">
      <c r="D65" s="1" t="s">
        <v>2</v>
      </c>
      <c r="E65" s="1" t="s">
        <v>7</v>
      </c>
      <c r="F65" s="1" t="s">
        <v>13</v>
      </c>
      <c r="G65" s="14">
        <v>0.03</v>
      </c>
    </row>
    <row r="66" spans="4:7" x14ac:dyDescent="0.3">
      <c r="D66" s="1" t="s">
        <v>2</v>
      </c>
      <c r="E66" s="1" t="s">
        <v>7</v>
      </c>
      <c r="F66" s="1" t="s">
        <v>13</v>
      </c>
      <c r="G66" s="14">
        <v>0.04</v>
      </c>
    </row>
    <row r="67" spans="4:7" x14ac:dyDescent="0.3">
      <c r="D67" s="1" t="s">
        <v>2</v>
      </c>
      <c r="E67" s="1" t="s">
        <v>11</v>
      </c>
      <c r="F67" s="1" t="s">
        <v>12</v>
      </c>
      <c r="G67" s="14">
        <v>0.01</v>
      </c>
    </row>
    <row r="68" spans="4:7" x14ac:dyDescent="0.3">
      <c r="D68" s="2" t="s">
        <v>2</v>
      </c>
      <c r="E68" s="2" t="s">
        <v>11</v>
      </c>
      <c r="F68" s="2" t="s">
        <v>12</v>
      </c>
      <c r="G68" s="15">
        <v>0.02</v>
      </c>
    </row>
    <row r="69" spans="4:7" x14ac:dyDescent="0.3">
      <c r="D69" s="1" t="s">
        <v>2</v>
      </c>
      <c r="E69" s="1" t="s">
        <v>11</v>
      </c>
      <c r="F69" s="1" t="s">
        <v>12</v>
      </c>
      <c r="G69" s="14">
        <v>0.05</v>
      </c>
    </row>
    <row r="70" spans="4:7" x14ac:dyDescent="0.3">
      <c r="D70" s="2" t="s">
        <v>2</v>
      </c>
      <c r="E70" s="2" t="s">
        <v>11</v>
      </c>
      <c r="F70" s="2" t="s">
        <v>13</v>
      </c>
      <c r="G70" s="15">
        <v>0.05</v>
      </c>
    </row>
    <row r="71" spans="4:7" x14ac:dyDescent="0.3">
      <c r="D71" s="1" t="s">
        <v>2</v>
      </c>
      <c r="E71" s="1" t="s">
        <v>11</v>
      </c>
      <c r="F71" s="1" t="s">
        <v>13</v>
      </c>
      <c r="G71" s="14">
        <v>0.05</v>
      </c>
    </row>
    <row r="72" spans="4:7" x14ac:dyDescent="0.3">
      <c r="D72" s="1" t="s">
        <v>2</v>
      </c>
      <c r="E72" s="1" t="s">
        <v>11</v>
      </c>
      <c r="F72" s="1" t="s">
        <v>13</v>
      </c>
      <c r="G72" s="14">
        <v>0.05</v>
      </c>
    </row>
    <row r="73" spans="4:7" x14ac:dyDescent="0.3">
      <c r="D73" s="2" t="s">
        <v>2</v>
      </c>
      <c r="E73" s="2" t="s">
        <v>9</v>
      </c>
      <c r="F73" s="2" t="s">
        <v>12</v>
      </c>
      <c r="G73" s="15">
        <v>0.03</v>
      </c>
    </row>
    <row r="74" spans="4:7" x14ac:dyDescent="0.3">
      <c r="D74" s="2" t="s">
        <v>2</v>
      </c>
      <c r="E74" s="2" t="s">
        <v>9</v>
      </c>
      <c r="F74" s="2" t="s">
        <v>12</v>
      </c>
      <c r="G74" s="15">
        <v>0.04</v>
      </c>
    </row>
    <row r="75" spans="4:7" x14ac:dyDescent="0.3">
      <c r="D75" s="1" t="s">
        <v>2</v>
      </c>
      <c r="E75" s="1" t="s">
        <v>9</v>
      </c>
      <c r="F75" s="1" t="s">
        <v>12</v>
      </c>
      <c r="G75" s="14">
        <v>0.05</v>
      </c>
    </row>
    <row r="76" spans="4:7" x14ac:dyDescent="0.3">
      <c r="D76" s="2" t="s">
        <v>2</v>
      </c>
      <c r="E76" s="2" t="s">
        <v>9</v>
      </c>
      <c r="F76" s="2" t="s">
        <v>12</v>
      </c>
      <c r="G76" s="15">
        <v>0.05</v>
      </c>
    </row>
    <row r="77" spans="4:7" x14ac:dyDescent="0.3">
      <c r="D77" s="1" t="s">
        <v>2</v>
      </c>
      <c r="E77" s="1" t="s">
        <v>9</v>
      </c>
      <c r="F77" s="1" t="s">
        <v>12</v>
      </c>
      <c r="G77" s="14">
        <v>0.05</v>
      </c>
    </row>
    <row r="78" spans="4:7" x14ac:dyDescent="0.3">
      <c r="D78" s="2" t="s">
        <v>2</v>
      </c>
      <c r="E78" s="2" t="s">
        <v>9</v>
      </c>
      <c r="F78" s="2" t="s">
        <v>12</v>
      </c>
      <c r="G78" s="15">
        <v>0.05</v>
      </c>
    </row>
    <row r="79" spans="4:7" x14ac:dyDescent="0.3">
      <c r="D79" s="2" t="s">
        <v>2</v>
      </c>
      <c r="E79" s="2" t="s">
        <v>9</v>
      </c>
      <c r="F79" s="2" t="s">
        <v>12</v>
      </c>
      <c r="G79" s="15">
        <v>0.05</v>
      </c>
    </row>
    <row r="80" spans="4:7" x14ac:dyDescent="0.3">
      <c r="D80" s="1" t="s">
        <v>2</v>
      </c>
      <c r="E80" s="1" t="s">
        <v>9</v>
      </c>
      <c r="F80" s="1" t="s">
        <v>14</v>
      </c>
      <c r="G80" s="14">
        <v>0.01</v>
      </c>
    </row>
    <row r="81" spans="4:7" x14ac:dyDescent="0.3">
      <c r="D81" s="1" t="s">
        <v>2</v>
      </c>
      <c r="E81" s="1" t="s">
        <v>9</v>
      </c>
      <c r="F81" s="1" t="s">
        <v>14</v>
      </c>
      <c r="G81" s="14">
        <v>0.02</v>
      </c>
    </row>
    <row r="82" spans="4:7" x14ac:dyDescent="0.3">
      <c r="D82" s="1" t="s">
        <v>2</v>
      </c>
      <c r="E82" s="1" t="s">
        <v>9</v>
      </c>
      <c r="F82" s="1" t="s">
        <v>14</v>
      </c>
      <c r="G82" s="14">
        <v>0.05</v>
      </c>
    </row>
    <row r="83" spans="4:7" x14ac:dyDescent="0.3">
      <c r="D83" s="1" t="s">
        <v>2</v>
      </c>
      <c r="E83" s="1" t="s">
        <v>9</v>
      </c>
      <c r="F83" s="1" t="s">
        <v>13</v>
      </c>
      <c r="G83" s="14">
        <v>0.05</v>
      </c>
    </row>
    <row r="84" spans="4:7" x14ac:dyDescent="0.3">
      <c r="D84" s="2" t="s">
        <v>2</v>
      </c>
      <c r="E84" s="2" t="s">
        <v>9</v>
      </c>
      <c r="F84" s="2" t="s">
        <v>13</v>
      </c>
      <c r="G84" s="15">
        <v>0.05</v>
      </c>
    </row>
    <row r="85" spans="4:7" x14ac:dyDescent="0.3">
      <c r="D85" s="2" t="s">
        <v>2</v>
      </c>
      <c r="E85" s="2" t="s">
        <v>10</v>
      </c>
      <c r="F85" s="2" t="s">
        <v>12</v>
      </c>
      <c r="G85" s="15">
        <v>0.02</v>
      </c>
    </row>
    <row r="86" spans="4:7" x14ac:dyDescent="0.3">
      <c r="D86" s="1" t="s">
        <v>2</v>
      </c>
      <c r="E86" s="1" t="s">
        <v>10</v>
      </c>
      <c r="F86" s="1" t="s">
        <v>12</v>
      </c>
      <c r="G86" s="14">
        <v>0.03</v>
      </c>
    </row>
    <row r="87" spans="4:7" x14ac:dyDescent="0.3">
      <c r="D87" s="1" t="s">
        <v>2</v>
      </c>
      <c r="E87" s="1" t="s">
        <v>10</v>
      </c>
      <c r="F87" s="1" t="s">
        <v>12</v>
      </c>
      <c r="G87" s="14">
        <v>0.03</v>
      </c>
    </row>
    <row r="88" spans="4:7" x14ac:dyDescent="0.3">
      <c r="D88" s="1" t="s">
        <v>2</v>
      </c>
      <c r="E88" s="1" t="s">
        <v>10</v>
      </c>
      <c r="F88" s="1" t="s">
        <v>12</v>
      </c>
      <c r="G88" s="14">
        <v>0.03</v>
      </c>
    </row>
    <row r="89" spans="4:7" x14ac:dyDescent="0.3">
      <c r="D89" s="1" t="s">
        <v>2</v>
      </c>
      <c r="E89" s="1" t="s">
        <v>10</v>
      </c>
      <c r="F89" s="1" t="s">
        <v>12</v>
      </c>
      <c r="G89" s="14">
        <v>0.03</v>
      </c>
    </row>
    <row r="90" spans="4:7" x14ac:dyDescent="0.3">
      <c r="D90" s="2" t="s">
        <v>2</v>
      </c>
      <c r="E90" s="2" t="s">
        <v>10</v>
      </c>
      <c r="F90" s="2" t="s">
        <v>12</v>
      </c>
      <c r="G90" s="15">
        <v>0.04</v>
      </c>
    </row>
    <row r="91" spans="4:7" x14ac:dyDescent="0.3">
      <c r="D91" s="2" t="s">
        <v>2</v>
      </c>
      <c r="E91" s="2" t="s">
        <v>10</v>
      </c>
      <c r="F91" s="2" t="s">
        <v>14</v>
      </c>
      <c r="G91" s="15">
        <v>0.01</v>
      </c>
    </row>
    <row r="92" spans="4:7" x14ac:dyDescent="0.3">
      <c r="D92" s="1" t="s">
        <v>2</v>
      </c>
      <c r="E92" s="1" t="s">
        <v>10</v>
      </c>
      <c r="F92" s="1" t="s">
        <v>14</v>
      </c>
      <c r="G92" s="14">
        <v>0.05</v>
      </c>
    </row>
    <row r="93" spans="4:7" x14ac:dyDescent="0.3">
      <c r="D93" s="1" t="s">
        <v>2</v>
      </c>
      <c r="E93" s="1" t="s">
        <v>10</v>
      </c>
      <c r="F93" s="1" t="s">
        <v>13</v>
      </c>
      <c r="G93" s="14">
        <v>0.03</v>
      </c>
    </row>
    <row r="94" spans="4:7" x14ac:dyDescent="0.3">
      <c r="D94" s="2" t="s">
        <v>2</v>
      </c>
      <c r="E94" s="2" t="s">
        <v>10</v>
      </c>
      <c r="F94" s="2" t="s">
        <v>13</v>
      </c>
      <c r="G94" s="15">
        <v>0.04</v>
      </c>
    </row>
    <row r="95" spans="4:7" x14ac:dyDescent="0.3">
      <c r="D95" s="2" t="s">
        <v>2</v>
      </c>
      <c r="E95" s="2" t="s">
        <v>10</v>
      </c>
      <c r="F95" s="2" t="s">
        <v>13</v>
      </c>
      <c r="G95" s="15">
        <v>0.05</v>
      </c>
    </row>
    <row r="96" spans="4:7" x14ac:dyDescent="0.3">
      <c r="D96" s="2" t="s">
        <v>2</v>
      </c>
      <c r="E96" s="2" t="s">
        <v>6</v>
      </c>
      <c r="F96" s="2" t="s">
        <v>12</v>
      </c>
      <c r="G96" s="15">
        <v>0.01</v>
      </c>
    </row>
    <row r="97" spans="4:7" x14ac:dyDescent="0.3">
      <c r="D97" s="1" t="s">
        <v>2</v>
      </c>
      <c r="E97" s="1" t="s">
        <v>6</v>
      </c>
      <c r="F97" s="1" t="s">
        <v>12</v>
      </c>
      <c r="G97" s="14">
        <v>0.01</v>
      </c>
    </row>
    <row r="98" spans="4:7" x14ac:dyDescent="0.3">
      <c r="D98" s="1" t="s">
        <v>2</v>
      </c>
      <c r="E98" s="1" t="s">
        <v>6</v>
      </c>
      <c r="F98" s="1" t="s">
        <v>12</v>
      </c>
      <c r="G98" s="14">
        <v>0.01</v>
      </c>
    </row>
    <row r="99" spans="4:7" x14ac:dyDescent="0.3">
      <c r="D99" s="1" t="s">
        <v>2</v>
      </c>
      <c r="E99" s="1" t="s">
        <v>6</v>
      </c>
      <c r="F99" s="1" t="s">
        <v>12</v>
      </c>
      <c r="G99" s="14">
        <v>0.04</v>
      </c>
    </row>
    <row r="100" spans="4:7" x14ac:dyDescent="0.3">
      <c r="D100" s="1" t="s">
        <v>2</v>
      </c>
      <c r="E100" s="1" t="s">
        <v>6</v>
      </c>
      <c r="F100" s="1" t="s">
        <v>12</v>
      </c>
      <c r="G100" s="14">
        <v>0.04</v>
      </c>
    </row>
    <row r="101" spans="4:7" x14ac:dyDescent="0.3">
      <c r="D101" s="1" t="s">
        <v>2</v>
      </c>
      <c r="E101" s="1" t="s">
        <v>6</v>
      </c>
      <c r="F101" s="1" t="s">
        <v>12</v>
      </c>
      <c r="G101" s="14">
        <v>0.05</v>
      </c>
    </row>
    <row r="102" spans="4:7" x14ac:dyDescent="0.3">
      <c r="D102" s="1" t="s">
        <v>2</v>
      </c>
      <c r="E102" s="1" t="s">
        <v>6</v>
      </c>
      <c r="F102" s="1" t="s">
        <v>12</v>
      </c>
      <c r="G102" s="14">
        <v>0.05</v>
      </c>
    </row>
    <row r="103" spans="4:7" x14ac:dyDescent="0.3">
      <c r="D103" s="1" t="s">
        <v>2</v>
      </c>
      <c r="E103" s="1" t="s">
        <v>6</v>
      </c>
      <c r="F103" s="1" t="s">
        <v>12</v>
      </c>
      <c r="G103" s="14">
        <v>0.05</v>
      </c>
    </row>
    <row r="104" spans="4:7" x14ac:dyDescent="0.3">
      <c r="D104" s="1" t="s">
        <v>2</v>
      </c>
      <c r="E104" s="1" t="s">
        <v>6</v>
      </c>
      <c r="F104" s="1" t="s">
        <v>14</v>
      </c>
      <c r="G104" s="14">
        <v>0.02</v>
      </c>
    </row>
    <row r="105" spans="4:7" x14ac:dyDescent="0.3">
      <c r="D105" s="2" t="s">
        <v>2</v>
      </c>
      <c r="E105" s="2" t="s">
        <v>6</v>
      </c>
      <c r="F105" s="2" t="s">
        <v>14</v>
      </c>
      <c r="G105" s="15">
        <v>0.02</v>
      </c>
    </row>
    <row r="106" spans="4:7" x14ac:dyDescent="0.3">
      <c r="D106" s="1" t="s">
        <v>2</v>
      </c>
      <c r="E106" s="1" t="s">
        <v>6</v>
      </c>
      <c r="F106" s="1" t="s">
        <v>14</v>
      </c>
      <c r="G106" s="14">
        <v>0.02</v>
      </c>
    </row>
    <row r="107" spans="4:7" x14ac:dyDescent="0.3">
      <c r="D107" s="2" t="s">
        <v>2</v>
      </c>
      <c r="E107" s="2" t="s">
        <v>6</v>
      </c>
      <c r="F107" s="2" t="s">
        <v>14</v>
      </c>
      <c r="G107" s="15">
        <v>0.04</v>
      </c>
    </row>
    <row r="108" spans="4:7" x14ac:dyDescent="0.3">
      <c r="D108" s="2" t="s">
        <v>2</v>
      </c>
      <c r="E108" s="2" t="s">
        <v>6</v>
      </c>
      <c r="F108" s="2" t="s">
        <v>14</v>
      </c>
      <c r="G108" s="15">
        <v>0.05</v>
      </c>
    </row>
    <row r="109" spans="4:7" x14ac:dyDescent="0.3">
      <c r="D109" s="2" t="s">
        <v>2</v>
      </c>
      <c r="E109" s="2" t="s">
        <v>6</v>
      </c>
      <c r="F109" s="2" t="s">
        <v>13</v>
      </c>
      <c r="G109" s="15">
        <v>0.01</v>
      </c>
    </row>
    <row r="110" spans="4:7" x14ac:dyDescent="0.3">
      <c r="D110" s="2" t="s">
        <v>2</v>
      </c>
      <c r="E110" s="2" t="s">
        <v>6</v>
      </c>
      <c r="F110" s="2" t="s">
        <v>13</v>
      </c>
      <c r="G110" s="15">
        <v>0.03</v>
      </c>
    </row>
    <row r="111" spans="4:7" x14ac:dyDescent="0.3">
      <c r="D111" s="1" t="s">
        <v>0</v>
      </c>
      <c r="E111" s="1" t="s">
        <v>7</v>
      </c>
      <c r="F111" s="1" t="s">
        <v>12</v>
      </c>
      <c r="G111" s="14">
        <v>0.01</v>
      </c>
    </row>
    <row r="112" spans="4:7" x14ac:dyDescent="0.3">
      <c r="D112" s="1" t="s">
        <v>0</v>
      </c>
      <c r="E112" s="1" t="s">
        <v>7</v>
      </c>
      <c r="F112" s="1" t="s">
        <v>12</v>
      </c>
      <c r="G112" s="14">
        <v>0.02</v>
      </c>
    </row>
    <row r="113" spans="4:7" x14ac:dyDescent="0.3">
      <c r="D113" s="1" t="s">
        <v>0</v>
      </c>
      <c r="E113" s="1" t="s">
        <v>7</v>
      </c>
      <c r="F113" s="1" t="s">
        <v>12</v>
      </c>
      <c r="G113" s="14">
        <v>0.03</v>
      </c>
    </row>
    <row r="114" spans="4:7" x14ac:dyDescent="0.3">
      <c r="D114" s="2" t="s">
        <v>0</v>
      </c>
      <c r="E114" s="2" t="s">
        <v>7</v>
      </c>
      <c r="F114" s="2" t="s">
        <v>12</v>
      </c>
      <c r="G114" s="15">
        <v>0.04</v>
      </c>
    </row>
    <row r="115" spans="4:7" x14ac:dyDescent="0.3">
      <c r="D115" s="1" t="s">
        <v>0</v>
      </c>
      <c r="E115" s="1" t="s">
        <v>7</v>
      </c>
      <c r="F115" s="1" t="s">
        <v>12</v>
      </c>
      <c r="G115" s="14">
        <v>0.05</v>
      </c>
    </row>
    <row r="116" spans="4:7" x14ac:dyDescent="0.3">
      <c r="D116" s="2" t="s">
        <v>0</v>
      </c>
      <c r="E116" s="2" t="s">
        <v>7</v>
      </c>
      <c r="F116" s="2" t="s">
        <v>14</v>
      </c>
      <c r="G116" s="15">
        <v>0.02</v>
      </c>
    </row>
    <row r="117" spans="4:7" x14ac:dyDescent="0.3">
      <c r="D117" s="2" t="s">
        <v>0</v>
      </c>
      <c r="E117" s="2" t="s">
        <v>7</v>
      </c>
      <c r="F117" s="2" t="s">
        <v>14</v>
      </c>
      <c r="G117" s="15">
        <v>0.04</v>
      </c>
    </row>
    <row r="118" spans="4:7" x14ac:dyDescent="0.3">
      <c r="D118" s="2" t="s">
        <v>0</v>
      </c>
      <c r="E118" s="2" t="s">
        <v>7</v>
      </c>
      <c r="F118" s="2" t="s">
        <v>14</v>
      </c>
      <c r="G118" s="15">
        <v>0.05</v>
      </c>
    </row>
    <row r="119" spans="4:7" x14ac:dyDescent="0.3">
      <c r="D119" s="1" t="s">
        <v>0</v>
      </c>
      <c r="E119" s="1" t="s">
        <v>7</v>
      </c>
      <c r="F119" s="1" t="s">
        <v>13</v>
      </c>
      <c r="G119" s="14">
        <v>0.01</v>
      </c>
    </row>
    <row r="120" spans="4:7" x14ac:dyDescent="0.3">
      <c r="D120" s="2" t="s">
        <v>0</v>
      </c>
      <c r="E120" s="2" t="s">
        <v>7</v>
      </c>
      <c r="F120" s="2" t="s">
        <v>13</v>
      </c>
      <c r="G120" s="15">
        <v>0.01</v>
      </c>
    </row>
    <row r="121" spans="4:7" x14ac:dyDescent="0.3">
      <c r="D121" s="2" t="s">
        <v>0</v>
      </c>
      <c r="E121" s="2" t="s">
        <v>7</v>
      </c>
      <c r="F121" s="2" t="s">
        <v>13</v>
      </c>
      <c r="G121" s="15">
        <v>0.03</v>
      </c>
    </row>
    <row r="122" spans="4:7" x14ac:dyDescent="0.3">
      <c r="D122" s="2" t="s">
        <v>0</v>
      </c>
      <c r="E122" s="2" t="s">
        <v>11</v>
      </c>
      <c r="F122" s="2" t="s">
        <v>12</v>
      </c>
      <c r="G122" s="15">
        <v>0.03</v>
      </c>
    </row>
    <row r="123" spans="4:7" x14ac:dyDescent="0.3">
      <c r="D123" s="1" t="s">
        <v>0</v>
      </c>
      <c r="E123" s="1" t="s">
        <v>11</v>
      </c>
      <c r="F123" s="1" t="s">
        <v>14</v>
      </c>
      <c r="G123" s="14">
        <v>0.02</v>
      </c>
    </row>
    <row r="124" spans="4:7" x14ac:dyDescent="0.3">
      <c r="D124" s="1" t="s">
        <v>0</v>
      </c>
      <c r="E124" s="1" t="s">
        <v>11</v>
      </c>
      <c r="F124" s="1" t="s">
        <v>14</v>
      </c>
      <c r="G124" s="14">
        <v>0.02</v>
      </c>
    </row>
    <row r="125" spans="4:7" x14ac:dyDescent="0.3">
      <c r="D125" s="1" t="s">
        <v>0</v>
      </c>
      <c r="E125" s="1" t="s">
        <v>11</v>
      </c>
      <c r="F125" s="1" t="s">
        <v>14</v>
      </c>
      <c r="G125" s="14">
        <v>0.04</v>
      </c>
    </row>
    <row r="126" spans="4:7" x14ac:dyDescent="0.3">
      <c r="D126" s="1" t="s">
        <v>0</v>
      </c>
      <c r="E126" s="1" t="s">
        <v>11</v>
      </c>
      <c r="F126" s="1" t="s">
        <v>14</v>
      </c>
      <c r="G126" s="14">
        <v>0.05</v>
      </c>
    </row>
    <row r="127" spans="4:7" x14ac:dyDescent="0.3">
      <c r="D127" s="1" t="s">
        <v>0</v>
      </c>
      <c r="E127" s="1" t="s">
        <v>11</v>
      </c>
      <c r="F127" s="1" t="s">
        <v>13</v>
      </c>
      <c r="G127" s="14">
        <v>0.03</v>
      </c>
    </row>
    <row r="128" spans="4:7" x14ac:dyDescent="0.3">
      <c r="D128" s="2" t="s">
        <v>0</v>
      </c>
      <c r="E128" s="2" t="s">
        <v>11</v>
      </c>
      <c r="F128" s="2" t="s">
        <v>13</v>
      </c>
      <c r="G128" s="15">
        <v>0.04</v>
      </c>
    </row>
    <row r="129" spans="4:7" x14ac:dyDescent="0.3">
      <c r="D129" s="2" t="s">
        <v>0</v>
      </c>
      <c r="E129" s="2" t="s">
        <v>9</v>
      </c>
      <c r="F129" s="2" t="s">
        <v>12</v>
      </c>
      <c r="G129" s="15">
        <v>0.01</v>
      </c>
    </row>
    <row r="130" spans="4:7" x14ac:dyDescent="0.3">
      <c r="D130" s="1" t="s">
        <v>0</v>
      </c>
      <c r="E130" s="1" t="s">
        <v>9</v>
      </c>
      <c r="F130" s="1" t="s">
        <v>12</v>
      </c>
      <c r="G130" s="14">
        <v>0.01</v>
      </c>
    </row>
    <row r="131" spans="4:7" x14ac:dyDescent="0.3">
      <c r="D131" s="1" t="s">
        <v>0</v>
      </c>
      <c r="E131" s="1" t="s">
        <v>9</v>
      </c>
      <c r="F131" s="1" t="s">
        <v>12</v>
      </c>
      <c r="G131" s="14">
        <v>0.03</v>
      </c>
    </row>
    <row r="132" spans="4:7" x14ac:dyDescent="0.3">
      <c r="D132" s="1" t="s">
        <v>0</v>
      </c>
      <c r="E132" s="1" t="s">
        <v>9</v>
      </c>
      <c r="F132" s="1" t="s">
        <v>14</v>
      </c>
      <c r="G132" s="14">
        <v>0.01</v>
      </c>
    </row>
    <row r="133" spans="4:7" x14ac:dyDescent="0.3">
      <c r="D133" s="2" t="s">
        <v>0</v>
      </c>
      <c r="E133" s="2" t="s">
        <v>9</v>
      </c>
      <c r="F133" s="2" t="s">
        <v>14</v>
      </c>
      <c r="G133" s="15">
        <v>0.03</v>
      </c>
    </row>
    <row r="134" spans="4:7" x14ac:dyDescent="0.3">
      <c r="D134" s="1" t="s">
        <v>0</v>
      </c>
      <c r="E134" s="1" t="s">
        <v>9</v>
      </c>
      <c r="F134" s="1" t="s">
        <v>14</v>
      </c>
      <c r="G134" s="14">
        <v>0.04</v>
      </c>
    </row>
    <row r="135" spans="4:7" x14ac:dyDescent="0.3">
      <c r="D135" s="1" t="s">
        <v>0</v>
      </c>
      <c r="E135" s="1" t="s">
        <v>9</v>
      </c>
      <c r="F135" s="1" t="s">
        <v>13</v>
      </c>
      <c r="G135" s="14">
        <v>0.01</v>
      </c>
    </row>
    <row r="136" spans="4:7" x14ac:dyDescent="0.3">
      <c r="D136" s="2" t="s">
        <v>0</v>
      </c>
      <c r="E136" s="2" t="s">
        <v>9</v>
      </c>
      <c r="F136" s="2" t="s">
        <v>13</v>
      </c>
      <c r="G136" s="15">
        <v>0.03</v>
      </c>
    </row>
    <row r="137" spans="4:7" x14ac:dyDescent="0.3">
      <c r="D137" s="2" t="s">
        <v>0</v>
      </c>
      <c r="E137" s="2" t="s">
        <v>9</v>
      </c>
      <c r="F137" s="2" t="s">
        <v>13</v>
      </c>
      <c r="G137" s="15">
        <v>0.04</v>
      </c>
    </row>
    <row r="138" spans="4:7" x14ac:dyDescent="0.3">
      <c r="D138" s="2" t="s">
        <v>0</v>
      </c>
      <c r="E138" s="2" t="s">
        <v>10</v>
      </c>
      <c r="F138" s="2" t="s">
        <v>12</v>
      </c>
      <c r="G138" s="15">
        <v>0.04</v>
      </c>
    </row>
    <row r="139" spans="4:7" x14ac:dyDescent="0.3">
      <c r="D139" s="1" t="s">
        <v>0</v>
      </c>
      <c r="E139" s="1" t="s">
        <v>10</v>
      </c>
      <c r="F139" s="1" t="s">
        <v>12</v>
      </c>
      <c r="G139" s="14">
        <v>0.04</v>
      </c>
    </row>
    <row r="140" spans="4:7" x14ac:dyDescent="0.3">
      <c r="D140" s="2" t="s">
        <v>0</v>
      </c>
      <c r="E140" s="2" t="s">
        <v>10</v>
      </c>
      <c r="F140" s="2" t="s">
        <v>12</v>
      </c>
      <c r="G140" s="15">
        <v>0.05</v>
      </c>
    </row>
    <row r="141" spans="4:7" x14ac:dyDescent="0.3">
      <c r="D141" s="1" t="s">
        <v>0</v>
      </c>
      <c r="E141" s="1" t="s">
        <v>10</v>
      </c>
      <c r="F141" s="1" t="s">
        <v>14</v>
      </c>
      <c r="G141" s="14">
        <v>0.01</v>
      </c>
    </row>
    <row r="142" spans="4:7" x14ac:dyDescent="0.3">
      <c r="D142" s="2" t="s">
        <v>0</v>
      </c>
      <c r="E142" s="2" t="s">
        <v>10</v>
      </c>
      <c r="F142" s="2" t="s">
        <v>14</v>
      </c>
      <c r="G142" s="15">
        <v>0.02</v>
      </c>
    </row>
    <row r="143" spans="4:7" x14ac:dyDescent="0.3">
      <c r="D143" s="1" t="s">
        <v>0</v>
      </c>
      <c r="E143" s="1" t="s">
        <v>10</v>
      </c>
      <c r="F143" s="1" t="s">
        <v>14</v>
      </c>
      <c r="G143" s="14">
        <v>0.02</v>
      </c>
    </row>
    <row r="144" spans="4:7" x14ac:dyDescent="0.3">
      <c r="D144" s="2" t="s">
        <v>0</v>
      </c>
      <c r="E144" s="2" t="s">
        <v>10</v>
      </c>
      <c r="F144" s="2" t="s">
        <v>14</v>
      </c>
      <c r="G144" s="15">
        <v>0.03</v>
      </c>
    </row>
    <row r="145" spans="4:7" x14ac:dyDescent="0.3">
      <c r="D145" s="1" t="s">
        <v>0</v>
      </c>
      <c r="E145" s="1" t="s">
        <v>10</v>
      </c>
      <c r="F145" s="1" t="s">
        <v>14</v>
      </c>
      <c r="G145" s="14">
        <v>0.04</v>
      </c>
    </row>
    <row r="146" spans="4:7" x14ac:dyDescent="0.3">
      <c r="D146" s="2" t="s">
        <v>0</v>
      </c>
      <c r="E146" s="2" t="s">
        <v>10</v>
      </c>
      <c r="F146" s="2" t="s">
        <v>13</v>
      </c>
      <c r="G146" s="15">
        <v>0.01</v>
      </c>
    </row>
    <row r="147" spans="4:7" x14ac:dyDescent="0.3">
      <c r="D147" s="1" t="s">
        <v>0</v>
      </c>
      <c r="E147" s="1" t="s">
        <v>10</v>
      </c>
      <c r="F147" s="1" t="s">
        <v>13</v>
      </c>
      <c r="G147" s="14">
        <v>0.03</v>
      </c>
    </row>
    <row r="148" spans="4:7" x14ac:dyDescent="0.3">
      <c r="D148" s="2" t="s">
        <v>0</v>
      </c>
      <c r="E148" s="2" t="s">
        <v>10</v>
      </c>
      <c r="F148" s="2" t="s">
        <v>13</v>
      </c>
      <c r="G148" s="15">
        <v>0.03</v>
      </c>
    </row>
    <row r="149" spans="4:7" x14ac:dyDescent="0.3">
      <c r="D149" s="2" t="s">
        <v>0</v>
      </c>
      <c r="E149" s="2" t="s">
        <v>10</v>
      </c>
      <c r="F149" s="2" t="s">
        <v>13</v>
      </c>
      <c r="G149" s="15">
        <v>0.05</v>
      </c>
    </row>
    <row r="150" spans="4:7" x14ac:dyDescent="0.3">
      <c r="D150" s="1" t="s">
        <v>0</v>
      </c>
      <c r="E150" s="1" t="s">
        <v>6</v>
      </c>
      <c r="F150" s="1" t="s">
        <v>12</v>
      </c>
      <c r="G150" s="14">
        <v>0.01</v>
      </c>
    </row>
    <row r="151" spans="4:7" x14ac:dyDescent="0.3">
      <c r="D151" s="1" t="s">
        <v>0</v>
      </c>
      <c r="E151" s="1" t="s">
        <v>6</v>
      </c>
      <c r="F151" s="1" t="s">
        <v>12</v>
      </c>
      <c r="G151" s="14">
        <v>0.03</v>
      </c>
    </row>
    <row r="152" spans="4:7" x14ac:dyDescent="0.3">
      <c r="D152" s="2" t="s">
        <v>0</v>
      </c>
      <c r="E152" s="2" t="s">
        <v>6</v>
      </c>
      <c r="F152" s="2" t="s">
        <v>14</v>
      </c>
      <c r="G152" s="15">
        <v>0.01</v>
      </c>
    </row>
    <row r="153" spans="4:7" x14ac:dyDescent="0.3">
      <c r="D153" s="2" t="s">
        <v>0</v>
      </c>
      <c r="E153" s="2" t="s">
        <v>6</v>
      </c>
      <c r="F153" s="2" t="s">
        <v>14</v>
      </c>
      <c r="G153" s="15">
        <v>0.05</v>
      </c>
    </row>
    <row r="154" spans="4:7" x14ac:dyDescent="0.3">
      <c r="D154" s="2" t="s">
        <v>0</v>
      </c>
      <c r="E154" s="2" t="s">
        <v>6</v>
      </c>
      <c r="F154" s="2" t="s">
        <v>14</v>
      </c>
      <c r="G154" s="15">
        <v>0.05</v>
      </c>
    </row>
    <row r="155" spans="4:7" x14ac:dyDescent="0.3">
      <c r="D155" s="1" t="s">
        <v>0</v>
      </c>
      <c r="E155" s="1" t="s">
        <v>6</v>
      </c>
      <c r="F155" s="1" t="s">
        <v>14</v>
      </c>
      <c r="G155" s="14">
        <v>0.05</v>
      </c>
    </row>
    <row r="156" spans="4:7" x14ac:dyDescent="0.3">
      <c r="D156" s="1" t="s">
        <v>0</v>
      </c>
      <c r="E156" s="1" t="s">
        <v>6</v>
      </c>
      <c r="F156" s="1" t="s">
        <v>13</v>
      </c>
      <c r="G156" s="14">
        <v>0.02</v>
      </c>
    </row>
    <row r="157" spans="4:7" x14ac:dyDescent="0.3">
      <c r="D157" s="1" t="s">
        <v>0</v>
      </c>
      <c r="E157" s="1" t="s">
        <v>6</v>
      </c>
      <c r="F157" s="1" t="s">
        <v>13</v>
      </c>
      <c r="G157" s="14">
        <v>0.03</v>
      </c>
    </row>
    <row r="158" spans="4:7" x14ac:dyDescent="0.3">
      <c r="D158" s="2" t="s">
        <v>1</v>
      </c>
      <c r="E158" s="2" t="s">
        <v>7</v>
      </c>
      <c r="F158" s="2" t="s">
        <v>12</v>
      </c>
      <c r="G158" s="15">
        <v>0.02</v>
      </c>
    </row>
    <row r="159" spans="4:7" x14ac:dyDescent="0.3">
      <c r="D159" s="2" t="s">
        <v>1</v>
      </c>
      <c r="E159" s="2" t="s">
        <v>7</v>
      </c>
      <c r="F159" s="2" t="s">
        <v>12</v>
      </c>
      <c r="G159" s="15">
        <v>0.03</v>
      </c>
    </row>
    <row r="160" spans="4:7" x14ac:dyDescent="0.3">
      <c r="D160" s="2" t="s">
        <v>1</v>
      </c>
      <c r="E160" s="2" t="s">
        <v>7</v>
      </c>
      <c r="F160" s="2" t="s">
        <v>12</v>
      </c>
      <c r="G160" s="15">
        <v>0.04</v>
      </c>
    </row>
    <row r="161" spans="4:7" x14ac:dyDescent="0.3">
      <c r="D161" s="1" t="s">
        <v>1</v>
      </c>
      <c r="E161" s="1" t="s">
        <v>7</v>
      </c>
      <c r="F161" s="1" t="s">
        <v>12</v>
      </c>
      <c r="G161" s="14">
        <v>0.05</v>
      </c>
    </row>
    <row r="162" spans="4:7" x14ac:dyDescent="0.3">
      <c r="D162" s="2" t="s">
        <v>1</v>
      </c>
      <c r="E162" s="2" t="s">
        <v>7</v>
      </c>
      <c r="F162" s="2" t="s">
        <v>14</v>
      </c>
      <c r="G162" s="15">
        <v>0.03</v>
      </c>
    </row>
    <row r="163" spans="4:7" x14ac:dyDescent="0.3">
      <c r="D163" s="2" t="s">
        <v>1</v>
      </c>
      <c r="E163" s="2" t="s">
        <v>7</v>
      </c>
      <c r="F163" s="2" t="s">
        <v>14</v>
      </c>
      <c r="G163" s="15">
        <v>0.03</v>
      </c>
    </row>
    <row r="164" spans="4:7" x14ac:dyDescent="0.3">
      <c r="D164" s="2" t="s">
        <v>1</v>
      </c>
      <c r="E164" s="2" t="s">
        <v>7</v>
      </c>
      <c r="F164" s="2" t="s">
        <v>13</v>
      </c>
      <c r="G164" s="15">
        <v>0.01</v>
      </c>
    </row>
    <row r="165" spans="4:7" x14ac:dyDescent="0.3">
      <c r="D165" s="1" t="s">
        <v>1</v>
      </c>
      <c r="E165" s="1" t="s">
        <v>7</v>
      </c>
      <c r="F165" s="1" t="s">
        <v>13</v>
      </c>
      <c r="G165" s="14">
        <v>0.03</v>
      </c>
    </row>
    <row r="166" spans="4:7" x14ac:dyDescent="0.3">
      <c r="D166" s="1" t="s">
        <v>1</v>
      </c>
      <c r="E166" s="1" t="s">
        <v>11</v>
      </c>
      <c r="F166" s="1" t="s">
        <v>12</v>
      </c>
      <c r="G166" s="14">
        <v>0.01</v>
      </c>
    </row>
    <row r="167" spans="4:7" x14ac:dyDescent="0.3">
      <c r="D167" s="2" t="s">
        <v>1</v>
      </c>
      <c r="E167" s="2" t="s">
        <v>11</v>
      </c>
      <c r="F167" s="2" t="s">
        <v>12</v>
      </c>
      <c r="G167" s="15">
        <v>0.02</v>
      </c>
    </row>
    <row r="168" spans="4:7" x14ac:dyDescent="0.3">
      <c r="D168" s="1" t="s">
        <v>1</v>
      </c>
      <c r="E168" s="1" t="s">
        <v>11</v>
      </c>
      <c r="F168" s="1" t="s">
        <v>12</v>
      </c>
      <c r="G168" s="14">
        <v>0.03</v>
      </c>
    </row>
    <row r="169" spans="4:7" x14ac:dyDescent="0.3">
      <c r="D169" s="1" t="s">
        <v>1</v>
      </c>
      <c r="E169" s="1" t="s">
        <v>11</v>
      </c>
      <c r="F169" s="1" t="s">
        <v>12</v>
      </c>
      <c r="G169" s="14">
        <v>0.04</v>
      </c>
    </row>
    <row r="170" spans="4:7" x14ac:dyDescent="0.3">
      <c r="D170" s="2" t="s">
        <v>1</v>
      </c>
      <c r="E170" s="2" t="s">
        <v>11</v>
      </c>
      <c r="F170" s="2" t="s">
        <v>14</v>
      </c>
      <c r="G170" s="15">
        <v>0.05</v>
      </c>
    </row>
    <row r="171" spans="4:7" x14ac:dyDescent="0.3">
      <c r="D171" s="1" t="s">
        <v>1</v>
      </c>
      <c r="E171" s="1" t="s">
        <v>11</v>
      </c>
      <c r="F171" s="1" t="s">
        <v>14</v>
      </c>
      <c r="G171" s="14">
        <v>0.05</v>
      </c>
    </row>
    <row r="172" spans="4:7" x14ac:dyDescent="0.3">
      <c r="D172" s="1" t="s">
        <v>1</v>
      </c>
      <c r="E172" s="1" t="s">
        <v>11</v>
      </c>
      <c r="F172" s="1" t="s">
        <v>13</v>
      </c>
      <c r="G172" s="14">
        <v>0.01</v>
      </c>
    </row>
    <row r="173" spans="4:7" x14ac:dyDescent="0.3">
      <c r="D173" s="1" t="s">
        <v>1</v>
      </c>
      <c r="E173" s="1" t="s">
        <v>9</v>
      </c>
      <c r="F173" s="1" t="s">
        <v>12</v>
      </c>
      <c r="G173" s="14">
        <v>0.03</v>
      </c>
    </row>
    <row r="174" spans="4:7" x14ac:dyDescent="0.3">
      <c r="D174" s="1" t="s">
        <v>1</v>
      </c>
      <c r="E174" s="1" t="s">
        <v>9</v>
      </c>
      <c r="F174" s="1" t="s">
        <v>14</v>
      </c>
      <c r="G174" s="14">
        <v>0.02</v>
      </c>
    </row>
    <row r="175" spans="4:7" x14ac:dyDescent="0.3">
      <c r="D175" s="2" t="s">
        <v>1</v>
      </c>
      <c r="E175" s="2" t="s">
        <v>9</v>
      </c>
      <c r="F175" s="2" t="s">
        <v>14</v>
      </c>
      <c r="G175" s="15">
        <v>0.03</v>
      </c>
    </row>
    <row r="176" spans="4:7" x14ac:dyDescent="0.3">
      <c r="D176" s="2" t="s">
        <v>1</v>
      </c>
      <c r="E176" s="2" t="s">
        <v>9</v>
      </c>
      <c r="F176" s="2" t="s">
        <v>14</v>
      </c>
      <c r="G176" s="15">
        <v>0.05</v>
      </c>
    </row>
    <row r="177" spans="4:7" x14ac:dyDescent="0.3">
      <c r="D177" s="2" t="s">
        <v>1</v>
      </c>
      <c r="E177" s="2" t="s">
        <v>9</v>
      </c>
      <c r="F177" s="2" t="s">
        <v>13</v>
      </c>
      <c r="G177" s="15">
        <v>0.03</v>
      </c>
    </row>
    <row r="178" spans="4:7" x14ac:dyDescent="0.3">
      <c r="D178" s="2" t="s">
        <v>1</v>
      </c>
      <c r="E178" s="2" t="s">
        <v>9</v>
      </c>
      <c r="F178" s="2" t="s">
        <v>13</v>
      </c>
      <c r="G178" s="15">
        <v>0.04</v>
      </c>
    </row>
    <row r="179" spans="4:7" x14ac:dyDescent="0.3">
      <c r="D179" s="1" t="s">
        <v>1</v>
      </c>
      <c r="E179" s="1" t="s">
        <v>10</v>
      </c>
      <c r="F179" s="1" t="s">
        <v>12</v>
      </c>
      <c r="G179" s="14">
        <v>0.02</v>
      </c>
    </row>
    <row r="180" spans="4:7" x14ac:dyDescent="0.3">
      <c r="D180" s="1" t="s">
        <v>1</v>
      </c>
      <c r="E180" s="1" t="s">
        <v>10</v>
      </c>
      <c r="F180" s="1" t="s">
        <v>12</v>
      </c>
      <c r="G180" s="14">
        <v>0.05</v>
      </c>
    </row>
    <row r="181" spans="4:7" x14ac:dyDescent="0.3">
      <c r="D181" s="2" t="s">
        <v>1</v>
      </c>
      <c r="E181" s="2" t="s">
        <v>10</v>
      </c>
      <c r="F181" s="2" t="s">
        <v>13</v>
      </c>
      <c r="G181" s="15">
        <v>0.01</v>
      </c>
    </row>
    <row r="182" spans="4:7" x14ac:dyDescent="0.3">
      <c r="D182" s="1" t="s">
        <v>1</v>
      </c>
      <c r="E182" s="1" t="s">
        <v>10</v>
      </c>
      <c r="F182" s="1" t="s">
        <v>13</v>
      </c>
      <c r="G182" s="14">
        <v>0.02</v>
      </c>
    </row>
    <row r="183" spans="4:7" x14ac:dyDescent="0.3">
      <c r="D183" s="1" t="s">
        <v>1</v>
      </c>
      <c r="E183" s="1" t="s">
        <v>10</v>
      </c>
      <c r="F183" s="1" t="s">
        <v>13</v>
      </c>
      <c r="G183" s="14">
        <v>0.02</v>
      </c>
    </row>
    <row r="184" spans="4:7" x14ac:dyDescent="0.3">
      <c r="D184" s="1" t="s">
        <v>1</v>
      </c>
      <c r="E184" s="1" t="s">
        <v>10</v>
      </c>
      <c r="F184" s="1" t="s">
        <v>13</v>
      </c>
      <c r="G184" s="14">
        <v>0.02</v>
      </c>
    </row>
    <row r="185" spans="4:7" x14ac:dyDescent="0.3">
      <c r="D185" s="1" t="s">
        <v>1</v>
      </c>
      <c r="E185" s="1" t="s">
        <v>10</v>
      </c>
      <c r="F185" s="1" t="s">
        <v>13</v>
      </c>
      <c r="G185" s="14">
        <v>0.03</v>
      </c>
    </row>
    <row r="186" spans="4:7" x14ac:dyDescent="0.3">
      <c r="D186" s="37" t="s">
        <v>1</v>
      </c>
      <c r="E186" s="37" t="s">
        <v>10</v>
      </c>
      <c r="F186" s="37" t="s">
        <v>13</v>
      </c>
      <c r="G186" s="38">
        <v>0.03</v>
      </c>
    </row>
    <row r="187" spans="4:7" x14ac:dyDescent="0.3">
      <c r="D187" s="1" t="s">
        <v>1</v>
      </c>
      <c r="E187" s="1" t="s">
        <v>10</v>
      </c>
      <c r="F187" s="1" t="s">
        <v>13</v>
      </c>
      <c r="G187" s="14">
        <v>0.04</v>
      </c>
    </row>
    <row r="188" spans="4:7" x14ac:dyDescent="0.3">
      <c r="D188" s="2" t="s">
        <v>1</v>
      </c>
      <c r="E188" s="2" t="s">
        <v>10</v>
      </c>
      <c r="F188" s="2" t="s">
        <v>13</v>
      </c>
      <c r="G188" s="15">
        <v>0.05</v>
      </c>
    </row>
    <row r="189" spans="4:7" x14ac:dyDescent="0.3">
      <c r="D189" s="2" t="s">
        <v>1</v>
      </c>
      <c r="E189" s="2" t="s">
        <v>6</v>
      </c>
      <c r="F189" s="2" t="s">
        <v>12</v>
      </c>
      <c r="G189" s="15">
        <v>0.02</v>
      </c>
    </row>
    <row r="190" spans="4:7" x14ac:dyDescent="0.3">
      <c r="D190" s="1" t="s">
        <v>1</v>
      </c>
      <c r="E190" s="1" t="s">
        <v>6</v>
      </c>
      <c r="F190" s="1" t="s">
        <v>12</v>
      </c>
      <c r="G190" s="14">
        <v>0.03</v>
      </c>
    </row>
    <row r="191" spans="4:7" x14ac:dyDescent="0.3">
      <c r="D191" s="1" t="s">
        <v>1</v>
      </c>
      <c r="E191" s="1" t="s">
        <v>6</v>
      </c>
      <c r="F191" s="1" t="s">
        <v>12</v>
      </c>
      <c r="G191" s="14">
        <v>0.04</v>
      </c>
    </row>
    <row r="192" spans="4:7" x14ac:dyDescent="0.3">
      <c r="D192" s="2" t="s">
        <v>1</v>
      </c>
      <c r="E192" s="2" t="s">
        <v>6</v>
      </c>
      <c r="F192" s="2" t="s">
        <v>12</v>
      </c>
      <c r="G192" s="15">
        <v>0.04</v>
      </c>
    </row>
    <row r="193" spans="4:7" x14ac:dyDescent="0.3">
      <c r="D193" s="2" t="s">
        <v>1</v>
      </c>
      <c r="E193" s="2" t="s">
        <v>6</v>
      </c>
      <c r="F193" s="2" t="s">
        <v>12</v>
      </c>
      <c r="G193" s="15">
        <v>0.04</v>
      </c>
    </row>
    <row r="194" spans="4:7" x14ac:dyDescent="0.3">
      <c r="D194" s="2" t="s">
        <v>1</v>
      </c>
      <c r="E194" s="2" t="s">
        <v>6</v>
      </c>
      <c r="F194" s="2" t="s">
        <v>12</v>
      </c>
      <c r="G194" s="15">
        <v>0.05</v>
      </c>
    </row>
    <row r="195" spans="4:7" x14ac:dyDescent="0.3">
      <c r="D195" s="2" t="s">
        <v>1</v>
      </c>
      <c r="E195" s="2" t="s">
        <v>6</v>
      </c>
      <c r="F195" s="2" t="s">
        <v>14</v>
      </c>
      <c r="G195" s="15">
        <v>0.01</v>
      </c>
    </row>
    <row r="196" spans="4:7" x14ac:dyDescent="0.3">
      <c r="D196" s="2" t="s">
        <v>1</v>
      </c>
      <c r="E196" s="2" t="s">
        <v>6</v>
      </c>
      <c r="F196" s="2" t="s">
        <v>14</v>
      </c>
      <c r="G196" s="15">
        <v>0.02</v>
      </c>
    </row>
    <row r="197" spans="4:7" x14ac:dyDescent="0.3">
      <c r="D197" s="1" t="s">
        <v>1</v>
      </c>
      <c r="E197" s="1" t="s">
        <v>6</v>
      </c>
      <c r="F197" s="1" t="s">
        <v>14</v>
      </c>
      <c r="G197" s="14">
        <v>0.02</v>
      </c>
    </row>
    <row r="198" spans="4:7" x14ac:dyDescent="0.3">
      <c r="D198" s="1" t="s">
        <v>1</v>
      </c>
      <c r="E198" s="1" t="s">
        <v>6</v>
      </c>
      <c r="F198" s="1" t="s">
        <v>14</v>
      </c>
      <c r="G198" s="14">
        <v>0.04</v>
      </c>
    </row>
    <row r="199" spans="4:7" x14ac:dyDescent="0.3">
      <c r="D199" s="2" t="s">
        <v>1</v>
      </c>
      <c r="E199" s="2" t="s">
        <v>6</v>
      </c>
      <c r="F199" s="2" t="s">
        <v>14</v>
      </c>
      <c r="G199" s="15">
        <v>0.05</v>
      </c>
    </row>
    <row r="200" spans="4:7" x14ac:dyDescent="0.3">
      <c r="D200" s="1" t="s">
        <v>1</v>
      </c>
      <c r="E200" s="1" t="s">
        <v>6</v>
      </c>
      <c r="F200" s="1" t="s">
        <v>14</v>
      </c>
      <c r="G200" s="14">
        <v>0.05</v>
      </c>
    </row>
    <row r="201" spans="4:7" x14ac:dyDescent="0.3">
      <c r="D201" s="1" t="s">
        <v>1</v>
      </c>
      <c r="E201" s="1" t="s">
        <v>6</v>
      </c>
      <c r="F201" s="1" t="s">
        <v>13</v>
      </c>
      <c r="G201" s="14">
        <v>0.02</v>
      </c>
    </row>
    <row r="202" spans="4:7" x14ac:dyDescent="0.3">
      <c r="D202" s="4" t="s">
        <v>1</v>
      </c>
      <c r="E202" s="4" t="s">
        <v>6</v>
      </c>
      <c r="F202" s="4" t="s">
        <v>13</v>
      </c>
      <c r="G202" s="32">
        <v>0.02</v>
      </c>
    </row>
  </sheetData>
  <sortState xmlns:xlrd2="http://schemas.microsoft.com/office/spreadsheetml/2017/richdata2" ref="A24:B28">
    <sortCondition descending="1" ref="B28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84D85-9F09-4D5E-BF7B-61E5A011029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F5723-6997-4ED0-9B16-DD224D909921}">
  <dimension ref="A3:H94"/>
  <sheetViews>
    <sheetView topLeftCell="C1" workbookViewId="0">
      <selection activeCell="D17" sqref="D17:E21"/>
    </sheetView>
  </sheetViews>
  <sheetFormatPr defaultRowHeight="14.4" x14ac:dyDescent="0.3"/>
  <cols>
    <col min="1" max="1" width="22.6640625" bestFit="1" customWidth="1"/>
    <col min="2" max="2" width="32" bestFit="1" customWidth="1"/>
    <col min="3" max="3" width="28.77734375" bestFit="1" customWidth="1"/>
    <col min="4" max="4" width="36" bestFit="1" customWidth="1"/>
    <col min="5" max="6" width="37.77734375" bestFit="1" customWidth="1"/>
    <col min="7" max="7" width="47.33203125" bestFit="1" customWidth="1"/>
    <col min="8" max="8" width="32" bestFit="1" customWidth="1"/>
    <col min="9" max="9" width="10.77734375" bestFit="1" customWidth="1"/>
  </cols>
  <sheetData>
    <row r="3" spans="1:8" x14ac:dyDescent="0.3">
      <c r="A3" s="7" t="s">
        <v>16</v>
      </c>
      <c r="B3" t="s">
        <v>20</v>
      </c>
      <c r="D3" s="7" t="s">
        <v>23</v>
      </c>
      <c r="E3" t="s">
        <v>24</v>
      </c>
      <c r="G3" s="7" t="s">
        <v>24</v>
      </c>
      <c r="H3" t="s">
        <v>25</v>
      </c>
    </row>
    <row r="4" spans="1:8" x14ac:dyDescent="0.3">
      <c r="A4" s="8" t="s">
        <v>7</v>
      </c>
      <c r="B4" s="5">
        <v>0.58319148936170206</v>
      </c>
      <c r="D4" s="8" t="s">
        <v>8</v>
      </c>
      <c r="E4" s="9">
        <v>51</v>
      </c>
      <c r="G4" s="8" t="s">
        <v>7</v>
      </c>
      <c r="H4" s="5">
        <v>2</v>
      </c>
    </row>
    <row r="5" spans="1:8" x14ac:dyDescent="0.3">
      <c r="A5" s="8" t="s">
        <v>11</v>
      </c>
      <c r="B5" s="5">
        <v>0.59517241379310348</v>
      </c>
      <c r="D5" s="8" t="s">
        <v>2</v>
      </c>
      <c r="E5" s="9">
        <v>57</v>
      </c>
      <c r="G5" s="8" t="s">
        <v>11</v>
      </c>
      <c r="H5" s="5">
        <v>1.9655172413793103</v>
      </c>
    </row>
    <row r="6" spans="1:8" x14ac:dyDescent="0.3">
      <c r="A6" s="8" t="s">
        <v>9</v>
      </c>
      <c r="B6" s="5">
        <v>0.61</v>
      </c>
      <c r="D6" s="8" t="s">
        <v>0</v>
      </c>
      <c r="E6" s="9">
        <v>47</v>
      </c>
      <c r="G6" s="8" t="s">
        <v>9</v>
      </c>
      <c r="H6" s="5">
        <v>2.2121212121212119</v>
      </c>
    </row>
    <row r="7" spans="1:8" x14ac:dyDescent="0.3">
      <c r="A7" s="8" t="s">
        <v>10</v>
      </c>
      <c r="B7" s="5">
        <v>0.64794871794871789</v>
      </c>
      <c r="D7" s="8" t="s">
        <v>1</v>
      </c>
      <c r="E7" s="9">
        <v>45</v>
      </c>
      <c r="G7" s="8" t="s">
        <v>10</v>
      </c>
      <c r="H7" s="5">
        <v>1.9487179487179487</v>
      </c>
    </row>
    <row r="8" spans="1:8" x14ac:dyDescent="0.3">
      <c r="A8" s="8" t="s">
        <v>6</v>
      </c>
      <c r="B8" s="5">
        <v>0.59307692307692306</v>
      </c>
      <c r="D8" s="8" t="s">
        <v>17</v>
      </c>
      <c r="E8" s="9">
        <v>200</v>
      </c>
      <c r="G8" s="8" t="s">
        <v>6</v>
      </c>
      <c r="H8" s="5">
        <v>1.9615384615384615</v>
      </c>
    </row>
    <row r="9" spans="1:8" x14ac:dyDescent="0.3">
      <c r="A9" s="8" t="s">
        <v>17</v>
      </c>
      <c r="B9" s="10">
        <v>0.6045499999999997</v>
      </c>
      <c r="G9" s="8" t="s">
        <v>17</v>
      </c>
      <c r="H9" s="9">
        <v>2.0099999999999998</v>
      </c>
    </row>
    <row r="10" spans="1:8" x14ac:dyDescent="0.3">
      <c r="D10" s="7" t="s">
        <v>23</v>
      </c>
      <c r="E10" t="s">
        <v>24</v>
      </c>
    </row>
    <row r="11" spans="1:8" x14ac:dyDescent="0.3">
      <c r="A11" s="7" t="s">
        <v>16</v>
      </c>
      <c r="B11" t="s">
        <v>18</v>
      </c>
      <c r="D11" s="8" t="s">
        <v>8</v>
      </c>
      <c r="E11" s="9">
        <v>51</v>
      </c>
      <c r="G11" s="7" t="s">
        <v>30</v>
      </c>
      <c r="H11" s="10" t="s">
        <v>18</v>
      </c>
    </row>
    <row r="12" spans="1:8" x14ac:dyDescent="0.3">
      <c r="A12" s="8" t="s">
        <v>7</v>
      </c>
      <c r="B12" s="5">
        <v>2.7872340425531932E-2</v>
      </c>
      <c r="D12" s="8" t="s">
        <v>2</v>
      </c>
      <c r="E12" s="9">
        <v>57</v>
      </c>
      <c r="G12" s="8" t="s">
        <v>8</v>
      </c>
      <c r="H12" s="10">
        <v>3.0784313725490214E-2</v>
      </c>
    </row>
    <row r="13" spans="1:8" x14ac:dyDescent="0.3">
      <c r="A13" s="8" t="s">
        <v>11</v>
      </c>
      <c r="B13" s="5">
        <v>3.2068965517241393E-2</v>
      </c>
      <c r="D13" s="8" t="s">
        <v>0</v>
      </c>
      <c r="E13" s="9">
        <v>47</v>
      </c>
      <c r="G13" s="11" t="s">
        <v>7</v>
      </c>
      <c r="H13" s="10">
        <v>2.533333333333334E-2</v>
      </c>
    </row>
    <row r="14" spans="1:8" x14ac:dyDescent="0.3">
      <c r="A14" s="8" t="s">
        <v>9</v>
      </c>
      <c r="B14" s="5">
        <v>3.3636363636363652E-2</v>
      </c>
      <c r="D14" s="8" t="s">
        <v>1</v>
      </c>
      <c r="E14" s="9">
        <v>45</v>
      </c>
      <c r="G14" s="31" t="s">
        <v>12</v>
      </c>
      <c r="H14" s="10">
        <v>1.7499999999999998E-2</v>
      </c>
    </row>
    <row r="15" spans="1:8" x14ac:dyDescent="0.3">
      <c r="A15" s="8" t="s">
        <v>10</v>
      </c>
      <c r="B15" s="5">
        <v>3.1794871794871803E-2</v>
      </c>
      <c r="D15" s="8" t="s">
        <v>17</v>
      </c>
      <c r="E15" s="9">
        <v>200</v>
      </c>
      <c r="G15" s="31" t="s">
        <v>14</v>
      </c>
      <c r="H15" s="10">
        <v>3.0000000000000006E-2</v>
      </c>
    </row>
    <row r="16" spans="1:8" x14ac:dyDescent="0.3">
      <c r="A16" s="8" t="s">
        <v>6</v>
      </c>
      <c r="B16" s="5">
        <v>3.1923076923076943E-2</v>
      </c>
      <c r="G16" s="31" t="s">
        <v>13</v>
      </c>
      <c r="H16" s="10">
        <v>2.6666666666666668E-2</v>
      </c>
    </row>
    <row r="17" spans="1:8" x14ac:dyDescent="0.3">
      <c r="A17" s="8" t="s">
        <v>17</v>
      </c>
      <c r="B17" s="10">
        <v>3.1249999999999938E-2</v>
      </c>
      <c r="D17" s="7" t="s">
        <v>23</v>
      </c>
      <c r="E17" t="s">
        <v>22</v>
      </c>
      <c r="G17" s="11" t="s">
        <v>11</v>
      </c>
      <c r="H17" s="10">
        <v>2.8888888888888891E-2</v>
      </c>
    </row>
    <row r="18" spans="1:8" x14ac:dyDescent="0.3">
      <c r="D18" s="8" t="s">
        <v>12</v>
      </c>
      <c r="E18" s="16">
        <v>0.37</v>
      </c>
      <c r="G18" s="31" t="s">
        <v>12</v>
      </c>
      <c r="H18" s="10">
        <v>3.6666666666666667E-2</v>
      </c>
    </row>
    <row r="19" spans="1:8" x14ac:dyDescent="0.3">
      <c r="D19" s="8" t="s">
        <v>14</v>
      </c>
      <c r="E19" s="16">
        <v>0.33</v>
      </c>
      <c r="G19" s="31" t="s">
        <v>14</v>
      </c>
      <c r="H19" s="10">
        <v>1.4999999999999999E-2</v>
      </c>
    </row>
    <row r="20" spans="1:8" x14ac:dyDescent="0.3">
      <c r="D20" s="8" t="s">
        <v>13</v>
      </c>
      <c r="E20" s="16">
        <v>0.3</v>
      </c>
      <c r="G20" s="31" t="s">
        <v>13</v>
      </c>
      <c r="H20" s="10">
        <v>3.0000000000000002E-2</v>
      </c>
    </row>
    <row r="21" spans="1:8" x14ac:dyDescent="0.3">
      <c r="D21" s="8" t="s">
        <v>17</v>
      </c>
      <c r="E21" s="16">
        <v>1</v>
      </c>
      <c r="G21" s="11" t="s">
        <v>9</v>
      </c>
      <c r="H21" s="10">
        <v>3.3333333333333333E-2</v>
      </c>
    </row>
    <row r="22" spans="1:8" x14ac:dyDescent="0.3">
      <c r="G22" s="31" t="s">
        <v>12</v>
      </c>
      <c r="H22" s="10">
        <v>0.05</v>
      </c>
    </row>
    <row r="23" spans="1:8" x14ac:dyDescent="0.3">
      <c r="G23" s="31" t="s">
        <v>14</v>
      </c>
      <c r="H23" s="10">
        <v>2.75E-2</v>
      </c>
    </row>
    <row r="24" spans="1:8" x14ac:dyDescent="0.3">
      <c r="G24" s="31" t="s">
        <v>13</v>
      </c>
      <c r="H24" s="10">
        <v>0.04</v>
      </c>
    </row>
    <row r="25" spans="1:8" x14ac:dyDescent="0.3">
      <c r="G25" s="11" t="s">
        <v>10</v>
      </c>
      <c r="H25" s="10">
        <v>3.6666666666666674E-2</v>
      </c>
    </row>
    <row r="26" spans="1:8" x14ac:dyDescent="0.3">
      <c r="G26" s="31" t="s">
        <v>12</v>
      </c>
      <c r="H26" s="10">
        <v>0.05</v>
      </c>
    </row>
    <row r="27" spans="1:8" x14ac:dyDescent="0.3">
      <c r="G27" s="31" t="s">
        <v>14</v>
      </c>
      <c r="H27" s="10">
        <v>0.03</v>
      </c>
    </row>
    <row r="28" spans="1:8" x14ac:dyDescent="0.3">
      <c r="G28" s="31" t="s">
        <v>13</v>
      </c>
      <c r="H28" s="10">
        <v>0.05</v>
      </c>
    </row>
    <row r="29" spans="1:8" x14ac:dyDescent="0.3">
      <c r="G29" s="11" t="s">
        <v>6</v>
      </c>
      <c r="H29" s="10">
        <v>3.4000000000000009E-2</v>
      </c>
    </row>
    <row r="30" spans="1:8" x14ac:dyDescent="0.3">
      <c r="G30" s="31" t="s">
        <v>12</v>
      </c>
      <c r="H30" s="10">
        <v>3.8000000000000006E-2</v>
      </c>
    </row>
    <row r="31" spans="1:8" x14ac:dyDescent="0.3">
      <c r="G31" s="31" t="s">
        <v>14</v>
      </c>
      <c r="H31" s="10">
        <v>2.8000000000000004E-2</v>
      </c>
    </row>
    <row r="32" spans="1:8" x14ac:dyDescent="0.3">
      <c r="G32" s="31" t="s">
        <v>13</v>
      </c>
      <c r="H32" s="10">
        <v>3.5999999999999997E-2</v>
      </c>
    </row>
    <row r="33" spans="7:8" x14ac:dyDescent="0.3">
      <c r="G33" s="8" t="s">
        <v>2</v>
      </c>
      <c r="H33" s="10">
        <v>3.368421052631581E-2</v>
      </c>
    </row>
    <row r="34" spans="7:8" x14ac:dyDescent="0.3">
      <c r="G34" s="11" t="s">
        <v>7</v>
      </c>
      <c r="H34" s="10">
        <v>2.923076923076923E-2</v>
      </c>
    </row>
    <row r="35" spans="7:8" x14ac:dyDescent="0.3">
      <c r="G35" s="31" t="s">
        <v>12</v>
      </c>
      <c r="H35" s="10">
        <v>3.6000000000000004E-2</v>
      </c>
    </row>
    <row r="36" spans="7:8" x14ac:dyDescent="0.3">
      <c r="G36" s="31" t="s">
        <v>14</v>
      </c>
      <c r="H36" s="10">
        <v>2.5000000000000001E-2</v>
      </c>
    </row>
    <row r="37" spans="7:8" x14ac:dyDescent="0.3">
      <c r="G37" s="31" t="s">
        <v>13</v>
      </c>
      <c r="H37" s="10">
        <v>2.5000000000000001E-2</v>
      </c>
    </row>
    <row r="38" spans="7:8" x14ac:dyDescent="0.3">
      <c r="G38" s="11" t="s">
        <v>11</v>
      </c>
      <c r="H38" s="10">
        <v>3.833333333333333E-2</v>
      </c>
    </row>
    <row r="39" spans="7:8" x14ac:dyDescent="0.3">
      <c r="G39" s="31" t="s">
        <v>12</v>
      </c>
      <c r="H39" s="10">
        <v>2.6666666666666668E-2</v>
      </c>
    </row>
    <row r="40" spans="7:8" x14ac:dyDescent="0.3">
      <c r="G40" s="31" t="s">
        <v>13</v>
      </c>
      <c r="H40" s="10">
        <v>5.000000000000001E-2</v>
      </c>
    </row>
    <row r="41" spans="7:8" x14ac:dyDescent="0.3">
      <c r="G41" s="11" t="s">
        <v>9</v>
      </c>
      <c r="H41" s="10">
        <v>4.1666666666666664E-2</v>
      </c>
    </row>
    <row r="42" spans="7:8" x14ac:dyDescent="0.3">
      <c r="G42" s="31" t="s">
        <v>12</v>
      </c>
      <c r="H42" s="10">
        <v>4.5714285714285714E-2</v>
      </c>
    </row>
    <row r="43" spans="7:8" x14ac:dyDescent="0.3">
      <c r="G43" s="31" t="s">
        <v>14</v>
      </c>
      <c r="H43" s="10">
        <v>2.6666666666666668E-2</v>
      </c>
    </row>
    <row r="44" spans="7:8" x14ac:dyDescent="0.3">
      <c r="G44" s="31" t="s">
        <v>13</v>
      </c>
      <c r="H44" s="10">
        <v>0.05</v>
      </c>
    </row>
    <row r="45" spans="7:8" x14ac:dyDescent="0.3">
      <c r="G45" s="11" t="s">
        <v>10</v>
      </c>
      <c r="H45" s="10">
        <v>3.2727272727272723E-2</v>
      </c>
    </row>
    <row r="46" spans="7:8" x14ac:dyDescent="0.3">
      <c r="G46" s="31" t="s">
        <v>12</v>
      </c>
      <c r="H46" s="10">
        <v>3.0000000000000002E-2</v>
      </c>
    </row>
    <row r="47" spans="7:8" x14ac:dyDescent="0.3">
      <c r="G47" s="31" t="s">
        <v>14</v>
      </c>
      <c r="H47" s="10">
        <v>3.0000000000000002E-2</v>
      </c>
    </row>
    <row r="48" spans="7:8" x14ac:dyDescent="0.3">
      <c r="G48" s="31" t="s">
        <v>13</v>
      </c>
      <c r="H48" s="10">
        <v>0.04</v>
      </c>
    </row>
    <row r="49" spans="7:8" x14ac:dyDescent="0.3">
      <c r="G49" s="11" t="s">
        <v>6</v>
      </c>
      <c r="H49" s="10">
        <v>3.0000000000000006E-2</v>
      </c>
    </row>
    <row r="50" spans="7:8" x14ac:dyDescent="0.3">
      <c r="G50" s="31" t="s">
        <v>12</v>
      </c>
      <c r="H50" s="10">
        <v>3.2500000000000008E-2</v>
      </c>
    </row>
    <row r="51" spans="7:8" x14ac:dyDescent="0.3">
      <c r="G51" s="31" t="s">
        <v>14</v>
      </c>
      <c r="H51" s="10">
        <v>3.0000000000000006E-2</v>
      </c>
    </row>
    <row r="52" spans="7:8" x14ac:dyDescent="0.3">
      <c r="G52" s="31" t="s">
        <v>13</v>
      </c>
      <c r="H52" s="10">
        <v>0.02</v>
      </c>
    </row>
    <row r="53" spans="7:8" x14ac:dyDescent="0.3">
      <c r="G53" s="8" t="s">
        <v>0</v>
      </c>
      <c r="H53" s="10">
        <v>2.9148936170212782E-2</v>
      </c>
    </row>
    <row r="54" spans="7:8" x14ac:dyDescent="0.3">
      <c r="G54" s="11" t="s">
        <v>7</v>
      </c>
      <c r="H54" s="10">
        <v>2.8181818181818186E-2</v>
      </c>
    </row>
    <row r="55" spans="7:8" x14ac:dyDescent="0.3">
      <c r="G55" s="31" t="s">
        <v>12</v>
      </c>
      <c r="H55" s="10">
        <v>3.0000000000000006E-2</v>
      </c>
    </row>
    <row r="56" spans="7:8" x14ac:dyDescent="0.3">
      <c r="G56" s="31" t="s">
        <v>14</v>
      </c>
      <c r="H56" s="10">
        <v>3.6666666666666674E-2</v>
      </c>
    </row>
    <row r="57" spans="7:8" x14ac:dyDescent="0.3">
      <c r="G57" s="31" t="s">
        <v>13</v>
      </c>
      <c r="H57" s="10">
        <v>1.6666666666666666E-2</v>
      </c>
    </row>
    <row r="58" spans="7:8" x14ac:dyDescent="0.3">
      <c r="G58" s="11" t="s">
        <v>11</v>
      </c>
      <c r="H58" s="10">
        <v>3.2857142857142856E-2</v>
      </c>
    </row>
    <row r="59" spans="7:8" x14ac:dyDescent="0.3">
      <c r="G59" s="31" t="s">
        <v>12</v>
      </c>
      <c r="H59" s="10">
        <v>0.03</v>
      </c>
    </row>
    <row r="60" spans="7:8" x14ac:dyDescent="0.3">
      <c r="G60" s="31" t="s">
        <v>14</v>
      </c>
      <c r="H60" s="10">
        <v>3.2500000000000001E-2</v>
      </c>
    </row>
    <row r="61" spans="7:8" x14ac:dyDescent="0.3">
      <c r="G61" s="31" t="s">
        <v>13</v>
      </c>
      <c r="H61" s="10">
        <v>3.5000000000000003E-2</v>
      </c>
    </row>
    <row r="62" spans="7:8" x14ac:dyDescent="0.3">
      <c r="G62" s="11" t="s">
        <v>9</v>
      </c>
      <c r="H62" s="10">
        <v>2.3333333333333334E-2</v>
      </c>
    </row>
    <row r="63" spans="7:8" x14ac:dyDescent="0.3">
      <c r="G63" s="31" t="s">
        <v>12</v>
      </c>
      <c r="H63" s="10">
        <v>1.6666666666666666E-2</v>
      </c>
    </row>
    <row r="64" spans="7:8" x14ac:dyDescent="0.3">
      <c r="G64" s="31" t="s">
        <v>14</v>
      </c>
      <c r="H64" s="10">
        <v>2.6666666666666668E-2</v>
      </c>
    </row>
    <row r="65" spans="7:8" x14ac:dyDescent="0.3">
      <c r="G65" s="31" t="s">
        <v>13</v>
      </c>
      <c r="H65" s="10">
        <v>2.6666666666666668E-2</v>
      </c>
    </row>
    <row r="66" spans="7:8" x14ac:dyDescent="0.3">
      <c r="G66" s="11" t="s">
        <v>10</v>
      </c>
      <c r="H66" s="10">
        <v>3.0833333333333334E-2</v>
      </c>
    </row>
    <row r="67" spans="7:8" x14ac:dyDescent="0.3">
      <c r="G67" s="31" t="s">
        <v>12</v>
      </c>
      <c r="H67" s="10">
        <v>4.3333333333333335E-2</v>
      </c>
    </row>
    <row r="68" spans="7:8" x14ac:dyDescent="0.3">
      <c r="G68" s="31" t="s">
        <v>14</v>
      </c>
      <c r="H68" s="10">
        <v>2.4E-2</v>
      </c>
    </row>
    <row r="69" spans="7:8" x14ac:dyDescent="0.3">
      <c r="G69" s="31" t="s">
        <v>13</v>
      </c>
      <c r="H69" s="10">
        <v>0.03</v>
      </c>
    </row>
    <row r="70" spans="7:8" x14ac:dyDescent="0.3">
      <c r="G70" s="11" t="s">
        <v>6</v>
      </c>
      <c r="H70" s="10">
        <v>3.125E-2</v>
      </c>
    </row>
    <row r="71" spans="7:8" x14ac:dyDescent="0.3">
      <c r="G71" s="31" t="s">
        <v>12</v>
      </c>
      <c r="H71" s="10">
        <v>0.02</v>
      </c>
    </row>
    <row r="72" spans="7:8" x14ac:dyDescent="0.3">
      <c r="G72" s="31" t="s">
        <v>14</v>
      </c>
      <c r="H72" s="10">
        <v>4.0000000000000008E-2</v>
      </c>
    </row>
    <row r="73" spans="7:8" x14ac:dyDescent="0.3">
      <c r="G73" s="31" t="s">
        <v>13</v>
      </c>
      <c r="H73" s="10">
        <v>2.5000000000000001E-2</v>
      </c>
    </row>
    <row r="74" spans="7:8" x14ac:dyDescent="0.3">
      <c r="G74" s="8" t="s">
        <v>1</v>
      </c>
      <c r="H74" s="10">
        <v>3.0888888888888907E-2</v>
      </c>
    </row>
    <row r="75" spans="7:8" x14ac:dyDescent="0.3">
      <c r="G75" s="11" t="s">
        <v>7</v>
      </c>
      <c r="H75" s="10">
        <v>3.0000000000000002E-2</v>
      </c>
    </row>
    <row r="76" spans="7:8" x14ac:dyDescent="0.3">
      <c r="G76" s="31" t="s">
        <v>12</v>
      </c>
      <c r="H76" s="10">
        <v>3.5000000000000003E-2</v>
      </c>
    </row>
    <row r="77" spans="7:8" x14ac:dyDescent="0.3">
      <c r="G77" s="31" t="s">
        <v>14</v>
      </c>
      <c r="H77" s="10">
        <v>0.03</v>
      </c>
    </row>
    <row r="78" spans="7:8" x14ac:dyDescent="0.3">
      <c r="G78" s="31" t="s">
        <v>13</v>
      </c>
      <c r="H78" s="10">
        <v>0.02</v>
      </c>
    </row>
    <row r="79" spans="7:8" x14ac:dyDescent="0.3">
      <c r="G79" s="11" t="s">
        <v>11</v>
      </c>
      <c r="H79" s="10">
        <v>3.0000000000000002E-2</v>
      </c>
    </row>
    <row r="80" spans="7:8" x14ac:dyDescent="0.3">
      <c r="G80" s="31" t="s">
        <v>12</v>
      </c>
      <c r="H80" s="10">
        <v>2.5000000000000001E-2</v>
      </c>
    </row>
    <row r="81" spans="7:8" x14ac:dyDescent="0.3">
      <c r="G81" s="31" t="s">
        <v>14</v>
      </c>
      <c r="H81" s="10">
        <v>0.05</v>
      </c>
    </row>
    <row r="82" spans="7:8" x14ac:dyDescent="0.3">
      <c r="G82" s="31" t="s">
        <v>13</v>
      </c>
      <c r="H82" s="10">
        <v>0.01</v>
      </c>
    </row>
    <row r="83" spans="7:8" x14ac:dyDescent="0.3">
      <c r="G83" s="11" t="s">
        <v>9</v>
      </c>
      <c r="H83" s="10">
        <v>3.3333333333333333E-2</v>
      </c>
    </row>
    <row r="84" spans="7:8" x14ac:dyDescent="0.3">
      <c r="G84" s="31" t="s">
        <v>12</v>
      </c>
      <c r="H84" s="10">
        <v>0.03</v>
      </c>
    </row>
    <row r="85" spans="7:8" x14ac:dyDescent="0.3">
      <c r="G85" s="31" t="s">
        <v>14</v>
      </c>
      <c r="H85" s="10">
        <v>3.3333333333333333E-2</v>
      </c>
    </row>
    <row r="86" spans="7:8" x14ac:dyDescent="0.3">
      <c r="G86" s="31" t="s">
        <v>13</v>
      </c>
      <c r="H86" s="10">
        <v>3.5000000000000003E-2</v>
      </c>
    </row>
    <row r="87" spans="7:8" x14ac:dyDescent="0.3">
      <c r="G87" s="11" t="s">
        <v>10</v>
      </c>
      <c r="H87" s="10">
        <v>2.9000000000000005E-2</v>
      </c>
    </row>
    <row r="88" spans="7:8" x14ac:dyDescent="0.3">
      <c r="G88" s="31" t="s">
        <v>12</v>
      </c>
      <c r="H88" s="10">
        <v>3.5000000000000003E-2</v>
      </c>
    </row>
    <row r="89" spans="7:8" x14ac:dyDescent="0.3">
      <c r="G89" s="31" t="s">
        <v>13</v>
      </c>
      <c r="H89" s="10">
        <v>2.75E-2</v>
      </c>
    </row>
    <row r="90" spans="7:8" x14ac:dyDescent="0.3">
      <c r="G90" s="11" t="s">
        <v>6</v>
      </c>
      <c r="H90" s="10">
        <v>3.2142857142857147E-2</v>
      </c>
    </row>
    <row r="91" spans="7:8" x14ac:dyDescent="0.3">
      <c r="G91" s="31" t="s">
        <v>12</v>
      </c>
      <c r="H91" s="10">
        <v>3.6666666666666667E-2</v>
      </c>
    </row>
    <row r="92" spans="7:8" x14ac:dyDescent="0.3">
      <c r="G92" s="31" t="s">
        <v>14</v>
      </c>
      <c r="H92" s="10">
        <v>3.1666666666666662E-2</v>
      </c>
    </row>
    <row r="93" spans="7:8" x14ac:dyDescent="0.3">
      <c r="G93" s="31" t="s">
        <v>13</v>
      </c>
      <c r="H93" s="10">
        <v>0.02</v>
      </c>
    </row>
    <row r="94" spans="7:8" x14ac:dyDescent="0.3">
      <c r="G94" s="8" t="s">
        <v>17</v>
      </c>
      <c r="H94" s="10">
        <v>3.1249999999999938E-2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Dashboard </vt:lpstr>
      <vt:lpstr>Narrative</vt:lpstr>
      <vt:lpstr>Tables</vt:lpstr>
      <vt:lpstr>Sheet11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Lenard Lacson</dc:creator>
  <cp:lastModifiedBy>Neil Lenard Lacson</cp:lastModifiedBy>
  <dcterms:created xsi:type="dcterms:W3CDTF">2026-04-11T01:28:47Z</dcterms:created>
  <dcterms:modified xsi:type="dcterms:W3CDTF">2026-04-11T03:56:40Z</dcterms:modified>
</cp:coreProperties>
</file>